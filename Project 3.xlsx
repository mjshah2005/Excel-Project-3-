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JIGNESH\Desktop\NOTES OF ALL SUBJECTS\PROJECTS OF RED AND WHITE\"/>
    </mc:Choice>
  </mc:AlternateContent>
  <xr:revisionPtr revIDLastSave="0" documentId="8_{59FB3FEA-B7D1-41D6-BB73-9AD126E3CC53}" xr6:coauthVersionLast="47" xr6:coauthVersionMax="47" xr10:uidLastSave="{00000000-0000-0000-0000-000000000000}"/>
  <bookViews>
    <workbookView xWindow="-108" yWindow="-108" windowWidth="23256" windowHeight="12456" firstSheet="11" activeTab="16" xr2:uid="{99E15858-C55A-4A89-81A1-9AF737EB3F79}"/>
  </bookViews>
  <sheets>
    <sheet name="Data Set" sheetId="1" r:id="rId1"/>
    <sheet name="Question 1" sheetId="2" r:id="rId2"/>
    <sheet name="Question 2" sheetId="3" r:id="rId3"/>
    <sheet name="Question 3" sheetId="4" r:id="rId4"/>
    <sheet name="Question 4" sheetId="5" r:id="rId5"/>
    <sheet name="Scenario Summary" sheetId="7" r:id="rId6"/>
    <sheet name="Question 5" sheetId="6" r:id="rId7"/>
    <sheet name="Question 6" sheetId="8" r:id="rId8"/>
    <sheet name="Question 7" sheetId="9" r:id="rId9"/>
    <sheet name="Question 8" sheetId="10" r:id="rId10"/>
    <sheet name="Pivot Tables &amp; Charts &amp; Slicer" sheetId="12" r:id="rId11"/>
    <sheet name="Dashboard" sheetId="17" r:id="rId12"/>
    <sheet name="Kpi Indicatiors" sheetId="13" r:id="rId13"/>
    <sheet name="Question 10 " sheetId="14" r:id="rId14"/>
    <sheet name="Question 11" sheetId="15" r:id="rId15"/>
    <sheet name="Question 12" sheetId="16" r:id="rId16"/>
    <sheet name="Story Telling" sheetId="20" r:id="rId17"/>
  </sheets>
  <definedNames>
    <definedName name="_xlnm._FilterDatabase" localSheetId="9" hidden="1">'Question 8'!$A$2:$O$252</definedName>
    <definedName name="Slicer_Region">#N/A</definedName>
    <definedName name="Slicer_Total_Amount">#N/A</definedName>
  </definedNames>
  <calcPr calcId="191029" iterate="1" iterateCount="1"/>
  <pivotCaches>
    <pivotCache cacheId="25"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16" l="1"/>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3"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O177" i="16"/>
  <c r="O178" i="16"/>
  <c r="O179" i="16"/>
  <c r="O180" i="16"/>
  <c r="O181" i="16"/>
  <c r="O182" i="16"/>
  <c r="O183" i="16"/>
  <c r="O184" i="16"/>
  <c r="O185" i="16"/>
  <c r="O186" i="16"/>
  <c r="O187" i="16"/>
  <c r="O188" i="16"/>
  <c r="O189" i="16"/>
  <c r="O190" i="16"/>
  <c r="O191" i="16"/>
  <c r="O192" i="16"/>
  <c r="O193" i="16"/>
  <c r="O194" i="16"/>
  <c r="O195" i="16"/>
  <c r="O196" i="16"/>
  <c r="O197"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3" i="14"/>
  <c r="P3" i="14"/>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4" i="13"/>
  <c r="O5" i="13"/>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O177" i="13"/>
  <c r="O178" i="13"/>
  <c r="O179" i="13"/>
  <c r="O180" i="13"/>
  <c r="O181" i="13"/>
  <c r="O182" i="13"/>
  <c r="O183" i="13"/>
  <c r="O184" i="13"/>
  <c r="O185" i="13"/>
  <c r="O186" i="13"/>
  <c r="O187" i="13"/>
  <c r="O188" i="13"/>
  <c r="O189" i="13"/>
  <c r="O190" i="13"/>
  <c r="O191" i="13"/>
  <c r="O192" i="13"/>
  <c r="O193" i="13"/>
  <c r="O194" i="13"/>
  <c r="O195" i="13"/>
  <c r="O196" i="13"/>
  <c r="O197" i="13"/>
  <c r="O198" i="13"/>
  <c r="O199" i="13"/>
  <c r="O200" i="13"/>
  <c r="O201" i="13"/>
  <c r="O202" i="13"/>
  <c r="O203" i="13"/>
  <c r="O204" i="13"/>
  <c r="O205" i="13"/>
  <c r="O206" i="13"/>
  <c r="O207" i="13"/>
  <c r="O208" i="13"/>
  <c r="O209" i="13"/>
  <c r="O210" i="13"/>
  <c r="O211" i="13"/>
  <c r="O212" i="13"/>
  <c r="O213" i="13"/>
  <c r="O214" i="13"/>
  <c r="O215" i="13"/>
  <c r="O216" i="13"/>
  <c r="O217" i="13"/>
  <c r="O218" i="13"/>
  <c r="O219" i="13"/>
  <c r="O220" i="13"/>
  <c r="O221" i="13"/>
  <c r="O222" i="13"/>
  <c r="O223" i="13"/>
  <c r="O224" i="13"/>
  <c r="O225" i="13"/>
  <c r="O226" i="13"/>
  <c r="O227" i="13"/>
  <c r="O228" i="13"/>
  <c r="O229" i="13"/>
  <c r="O230" i="13"/>
  <c r="O231" i="13"/>
  <c r="O232" i="13"/>
  <c r="O233" i="13"/>
  <c r="O234" i="13"/>
  <c r="O235" i="13"/>
  <c r="O236" i="13"/>
  <c r="O237" i="13"/>
  <c r="O238" i="13"/>
  <c r="O239" i="13"/>
  <c r="O240" i="13"/>
  <c r="O241" i="13"/>
  <c r="O242" i="13"/>
  <c r="O243" i="13"/>
  <c r="O244" i="13"/>
  <c r="O245" i="13"/>
  <c r="O246" i="13"/>
  <c r="O247" i="13"/>
  <c r="O248" i="13"/>
  <c r="O249" i="13"/>
  <c r="O250" i="13"/>
  <c r="O251" i="13"/>
  <c r="O252" i="13"/>
  <c r="O3" i="13"/>
  <c r="P3" i="10" l="1"/>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3" i="10"/>
  <c r="O4" i="5"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11" i="2"/>
  <c r="Q3" i="2"/>
  <c r="P4" i="2"/>
  <c r="P5" i="2"/>
  <c r="P6" i="2"/>
  <c r="P7" i="2"/>
  <c r="P8" i="2"/>
  <c r="P9" i="2"/>
  <c r="P10" i="2"/>
  <c r="P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3" i="2"/>
</calcChain>
</file>

<file path=xl/sharedStrings.xml><?xml version="1.0" encoding="utf-8"?>
<sst xmlns="http://schemas.openxmlformats.org/spreadsheetml/2006/main" count="29584" uniqueCount="517">
  <si>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</si>
  <si>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</si>
  <si>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</si>
  <si>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</si>
  <si>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</si>
  <si>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</si>
  <si>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</si>
  <si>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</si>
  <si>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</si>
  <si>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</si>
  <si>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</si>
  <si>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</si>
  <si>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</si>
  <si>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</si>
  <si>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</si>
  <si>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</si>
  <si>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</si>
  <si>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</si>
  <si>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</si>
  <si>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</si>
  <si>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</si>
  <si>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</si>
  <si>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</si>
  <si>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</si>
  <si>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</si>
  <si>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</si>
  <si>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</si>
  <si>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</si>
  <si>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</si>
  <si>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</si>
  <si>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</si>
  <si>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</si>
  <si>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</si>
  <si>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</si>
  <si>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</si>
  <si>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</si>
  <si>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</si>
  <si>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</si>
  <si>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</si>
  <si>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</si>
  <si>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</si>
  <si>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</si>
  <si>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</si>
  <si>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</si>
  <si>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</si>
  <si>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</si>
  <si>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</si>
  <si>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</si>
  <si>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</si>
  <si>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</si>
  <si>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</si>
  <si>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</si>
  <si>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</si>
  <si>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</si>
  <si>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</si>
  <si>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</si>
  <si>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</si>
  <si>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</si>
  <si>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</si>
  <si>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</si>
  <si>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</si>
  <si>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</si>
  <si>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</si>
  <si>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</si>
  <si>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</si>
  <si>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</si>
  <si>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</si>
  <si>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</si>
  <si>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</si>
  <si>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</si>
  <si>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</si>
  <si>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</si>
  <si>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</si>
  <si>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</si>
  <si>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</si>
  <si>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</si>
  <si>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</si>
  <si>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</si>
  <si>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</si>
  <si>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</si>
  <si>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</si>
  <si>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</si>
  <si>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</si>
  <si>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</si>
  <si>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</si>
  <si>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</si>
  <si>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</si>
  <si>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</si>
  <si>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</si>
  <si>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</si>
  <si>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</si>
  <si>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</si>
  <si>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</si>
  <si>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</si>
  <si>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</si>
  <si>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</si>
  <si>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</si>
  <si>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</si>
  <si>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</si>
  <si>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</si>
  <si>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</si>
  <si>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</si>
  <si>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</si>
  <si>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</si>
  <si>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</si>
  <si>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</si>
  <si>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</si>
  <si>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</si>
  <si>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</si>
  <si>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</si>
  <si>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</si>
  <si>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</si>
  <si>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</si>
  <si>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</si>
  <si>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</si>
  <si>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</si>
  <si>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</si>
  <si>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</si>
  <si>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</si>
  <si>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</si>
  <si>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</si>
  <si>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</si>
  <si>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</si>
  <si>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</si>
  <si>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</si>
  <si>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</si>
  <si>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</si>
  <si>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</si>
  <si>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</si>
  <si>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</si>
  <si>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</si>
  <si>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</si>
  <si>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</si>
  <si>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</si>
  <si>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</si>
  <si>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</si>
  <si>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</si>
  <si>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</si>
  <si>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</si>
  <si>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</si>
  <si>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</si>
  <si>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</si>
  <si>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</si>
  <si>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</si>
  <si>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</si>
  <si>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</si>
  <si>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</si>
  <si>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</si>
  <si>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</si>
  <si>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</si>
  <si>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</si>
  <si>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</si>
  <si>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</si>
  <si>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</si>
  <si>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</si>
  <si>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</si>
  <si>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</si>
  <si>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</si>
  <si>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</si>
  <si>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</si>
  <si>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</si>
  <si>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</si>
  <si>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</si>
  <si>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</si>
  <si>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</si>
  <si>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</si>
  <si>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</si>
  <si>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</si>
  <si>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</si>
  <si>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</si>
  <si>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</si>
  <si>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</si>
  <si>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</si>
  <si>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</si>
  <si>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</si>
  <si>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</si>
  <si>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</si>
  <si>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</si>
  <si>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</si>
  <si>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</si>
  <si>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</si>
  <si>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</si>
  <si>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</si>
  <si>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</si>
  <si>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</si>
  <si>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</si>
  <si>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</si>
  <si>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</si>
  <si>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</si>
  <si>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</si>
  <si>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</si>
  <si>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</si>
  <si>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</si>
  <si>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</si>
  <si>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</si>
  <si>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</si>
  <si>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</si>
  <si>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</si>
  <si>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</si>
  <si>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</si>
  <si>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</si>
  <si>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</si>
  <si>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</si>
  <si>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</si>
  <si>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</si>
  <si>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</si>
  <si>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</si>
  <si>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</si>
  <si>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</si>
  <si>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</si>
  <si>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</si>
  <si>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</si>
  <si>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</si>
  <si>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</si>
  <si>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</si>
  <si>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</si>
  <si>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</si>
  <si>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</si>
  <si>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</si>
  <si>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</si>
  <si>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</si>
  <si>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</si>
  <si>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</si>
  <si>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</si>
  <si>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</si>
  <si>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</si>
  <si>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</si>
  <si>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</si>
  <si>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</si>
  <si>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</si>
  <si>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</si>
  <si>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</si>
  <si>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</si>
  <si>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</si>
  <si>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</si>
  <si>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</si>
  <si>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</si>
  <si>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</si>
  <si>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</si>
  <si>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</si>
  <si>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</si>
  <si>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</si>
  <si>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</si>
  <si>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</si>
  <si>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</si>
  <si>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</si>
  <si>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</si>
  <si>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</si>
  <si>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</si>
  <si>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</si>
  <si>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</si>
  <si>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</si>
  <si>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</si>
  <si>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</si>
  <si>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</si>
  <si>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</si>
  <si>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</si>
  <si>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</si>
  <si>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</si>
  <si>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</si>
  <si>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</si>
  <si>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</si>
  <si>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</si>
  <si>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</si>
  <si>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</si>
  <si>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</si>
  <si>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</si>
  <si>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</si>
  <si>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</si>
  <si>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</si>
  <si>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</si>
  <si>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</si>
  <si>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</si>
  <si>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</si>
  <si>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</si>
  <si>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</si>
  <si>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</si>
  <si>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</si>
  <si>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</si>
  <si>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</si>
  <si>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</si>
  <si>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</si>
  <si>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</si>
  <si>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</si>
  <si>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</si>
  <si>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</si>
  <si>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</si>
  <si>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</si>
  <si>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</si>
  <si>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</si>
  <si>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</si>
  <si>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</si>
  <si>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</si>
  <si>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</si>
  <si>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</si>
  <si>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</si>
  <si>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</si>
  <si>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</si>
  <si>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</si>
  <si>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</si>
  <si>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</si>
  <si>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</si>
  <si>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</si>
  <si>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</si>
  <si>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</si>
  <si>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</si>
  <si>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</si>
  <si>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</si>
  <si>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</si>
  <si>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</si>
  <si>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</si>
  <si>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</si>
  <si>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</si>
  <si>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</si>
  <si>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</si>
  <si>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</si>
  <si>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</si>
  <si>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</si>
  <si>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</si>
  <si>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</si>
  <si>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</si>
  <si>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</si>
  <si>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</si>
  <si>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</si>
  <si>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</si>
  <si>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</si>
  <si>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</si>
  <si>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</si>
  <si>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</si>
  <si>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</si>
  <si>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</si>
  <si>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</si>
  <si>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</si>
  <si>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</si>
  <si>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</si>
  <si>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</si>
  <si>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</si>
  <si>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</si>
  <si>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</si>
  <si>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</si>
  <si>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</si>
  <si>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</si>
  <si>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</si>
  <si>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</si>
  <si>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</si>
  <si>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</si>
  <si>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</si>
  <si>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</si>
  <si>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</si>
  <si>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</si>
  <si>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</si>
  <si>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</si>
  <si>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</si>
  <si>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</si>
  <si>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</si>
  <si>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</si>
  <si>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</si>
  <si>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</si>
  <si>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</si>
  <si>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</si>
  <si>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</si>
  <si>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</si>
  <si>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</si>
  <si>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</si>
  <si>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</si>
  <si>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</si>
  <si>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</si>
  <si>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</si>
  <si>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</si>
  <si>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</si>
  <si>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</si>
  <si>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</si>
  <si>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</si>
  <si>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</si>
  <si>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</si>
  <si>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</si>
  <si>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</si>
  <si>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</si>
  <si>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</si>
  <si>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</si>
  <si>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</si>
  <si>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</si>
  <si>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</si>
  <si>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</si>
  <si>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</si>
  <si>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</si>
  <si>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</si>
  <si>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</si>
  <si>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</si>
  <si>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</si>
  <si>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</si>
  <si>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</si>
  <si>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</si>
  <si>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</si>
  <si>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</si>
  <si>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</si>
  <si>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</si>
  <si>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</si>
  <si>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</si>
  <si>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 xml:space="preserve"> Date &amp; Time Functions: TODAY, NOW, DATEDIF, EOMONTH</t>
  </si>
  <si>
    <t>Today</t>
  </si>
  <si>
    <t>Now</t>
  </si>
  <si>
    <t>Dateifs</t>
  </si>
  <si>
    <t>EoMonth</t>
  </si>
  <si>
    <t>months 0 means current , months 1 means 1 , months -1 means previous</t>
  </si>
  <si>
    <t>FILTER Function for multi-value returns</t>
  </si>
  <si>
    <t>Conditional Formatting with Icons/Arrows</t>
  </si>
  <si>
    <t>this is the conditional formatting of icons</t>
  </si>
  <si>
    <t>Create Timestamp (using NOW and iterative calculations)</t>
  </si>
  <si>
    <t>Time Stamp</t>
  </si>
  <si>
    <t>I have use the short cut of ctr+; it use automatically come the date</t>
  </si>
  <si>
    <t xml:space="preserve"> WHAT-IF Analysis: Scenario Manager, Goal Seek</t>
  </si>
  <si>
    <t>unit price</t>
  </si>
  <si>
    <t>sales/quantity I have assume the number</t>
  </si>
  <si>
    <t>discount</t>
  </si>
  <si>
    <t>cost price</t>
  </si>
  <si>
    <t>profit</t>
  </si>
  <si>
    <t>$P$3</t>
  </si>
  <si>
    <t>$Q$3</t>
  </si>
  <si>
    <t>$P$4</t>
  </si>
  <si>
    <t>$Q$4</t>
  </si>
  <si>
    <t>$P$5</t>
  </si>
  <si>
    <t>$Q$5</t>
  </si>
  <si>
    <t>$P$6</t>
  </si>
  <si>
    <t>$Q$6</t>
  </si>
  <si>
    <t>$P$7</t>
  </si>
  <si>
    <t>$Q$7</t>
  </si>
  <si>
    <t>best</t>
  </si>
  <si>
    <t>Created by JIGNESH on 04-04-2026</t>
  </si>
  <si>
    <t>worst</t>
  </si>
  <si>
    <t>Discount</t>
  </si>
  <si>
    <t>Scenario Summary</t>
  </si>
  <si>
    <t>Changing Cells:</t>
  </si>
  <si>
    <t>Current Values:</t>
  </si>
  <si>
    <t>Notes:  Current Values column represents values of changing cells at</t>
  </si>
  <si>
    <t>time Scenario Summary Report was created.  Changing cells for each</t>
  </si>
  <si>
    <t>scenario are highlighted in gray.</t>
  </si>
  <si>
    <t xml:space="preserve"> Linear Regression using Data Analysis Toolpak</t>
  </si>
  <si>
    <t xml:space="preserve">in that regression is not possible </t>
  </si>
  <si>
    <t>Data Analysis &amp; Storytelling from the dataset</t>
  </si>
  <si>
    <t>📖 Short Data Story Analysis
Your business is driven mainly by high-value electronics products like laptops and smartphones, which contribute the largest share of revenue. While furniture adds steady income, appliances generate lower revenue despite frequent sales.
The North and West regions are your strongest markets, showing both high-value purchases and repeat customers. In contrast, East and South regions have growth potential but are underutilized.
A small group of Premium customers plays a crucial role, contributing most of the revenue through high-ticket purchases, while Basic customers mainly drive volume with low-cost items.
Sales follow a seasonal pattern, peaking during mid-year and year-end, likely due to festive demand and promotional offers.
👉 Final Insight:
Your business is a premium-focused, electronics-driven model with strong customer loyalty and regional concentration. Expanding into weaker regions and improving low-performing categories can significantly boost overall growth.</t>
  </si>
  <si>
    <t>Use GroupBy concepts to find High-Value Customers using formulas</t>
  </si>
  <si>
    <t>High value</t>
  </si>
  <si>
    <t xml:space="preserve">Group by </t>
  </si>
  <si>
    <t>Sum of Total_Amount</t>
  </si>
  <si>
    <t>Row Labels</t>
  </si>
  <si>
    <t>Grand Total</t>
  </si>
  <si>
    <t xml:space="preserve">    - KPI Indicators with Conditional Formatting</t>
  </si>
  <si>
    <t>Kpi high or low</t>
  </si>
  <si>
    <t xml:space="preserve">in that I have use condition formatting </t>
  </si>
  <si>
    <r>
      <t>in that I go conditionaal formatting th</t>
    </r>
    <r>
      <rPr>
        <sz val="12"/>
        <color theme="1"/>
        <rFont val="Calibri"/>
        <family val="2"/>
        <scheme val="minor"/>
      </rPr>
      <t>a</t>
    </r>
    <r>
      <rPr>
        <sz val="11"/>
        <color theme="1"/>
        <rFont val="Calibri"/>
        <family val="2"/>
        <scheme val="minor"/>
      </rPr>
      <t>t go new rule-&gt;that select Format only cells that contain-&gt;Select:Specific Text,Type:High,Medium,Low-&gt;k on Format-&gt;Choose color(yellow,green,red)-&gt;bold-&gt;ok-&gt;ok</t>
    </r>
  </si>
  <si>
    <t xml:space="preserve"> find most frequently purchased product or repeating names using formulas</t>
  </si>
  <si>
    <t>Count</t>
  </si>
  <si>
    <t>maximum</t>
  </si>
  <si>
    <t>Frequent product name</t>
  </si>
  <si>
    <t xml:space="preserve"> Compare two lists and extract matching names in a new column</t>
  </si>
  <si>
    <t>Comapre two list</t>
  </si>
  <si>
    <t>Create Abbreviations using TEXT functions</t>
  </si>
  <si>
    <t>using text upper</t>
  </si>
  <si>
    <t>using text lower</t>
  </si>
  <si>
    <t>Sumarise of the charts</t>
  </si>
  <si>
    <t>“The business is strongly driven by high-value electronics and premium customers, with North and West regions acting as key revenue hubs. Strategic focus on customer upgrading and digital engagement can significantly boost future growth.”</t>
  </si>
  <si>
    <t>🧾 1. Executive Summary</t>
  </si>
  <si>
    <t>Electronics = top category</t>
  </si>
  <si>
    <t>Premium customers = highest revenue</t>
  </si>
  <si>
    <t>Credit Card = most used payment</t>
  </si>
  <si>
    <t>North &amp; West = top regions</t>
  </si>
  <si>
    <t>📈 2. Sales Overview</t>
  </si>
  <si>
    <r>
      <t xml:space="preserve">Revenue = </t>
    </r>
    <r>
      <rPr>
        <sz val="10"/>
        <color theme="1"/>
        <rFont val="Arial Unicode MS"/>
      </rPr>
      <t>SUM(Total_Amount)</t>
    </r>
  </si>
  <si>
    <r>
      <t xml:space="preserve">Orders = </t>
    </r>
    <r>
      <rPr>
        <sz val="10"/>
        <color theme="1"/>
        <rFont val="Arial Unicode MS"/>
      </rPr>
      <t>COUNT(Transaction_ID)</t>
    </r>
  </si>
  <si>
    <r>
      <t xml:space="preserve">Avg Value = </t>
    </r>
    <r>
      <rPr>
        <sz val="10"/>
        <color theme="1"/>
        <rFont val="Arial Unicode MS"/>
      </rPr>
      <t>Revenue / Orders</t>
    </r>
  </si>
  <si>
    <r>
      <t xml:space="preserve">📌 High sales come from </t>
    </r>
    <r>
      <rPr>
        <b/>
        <sz val="11"/>
        <color theme="1"/>
        <rFont val="Calibri"/>
        <family val="2"/>
        <scheme val="minor"/>
      </rPr>
      <t>Laptops &amp; Smartphones</t>
    </r>
  </si>
  <si>
    <t>📌 Bulk orders increase revenue</t>
  </si>
  <si>
    <t>🛍️ 3. Category Analysis</t>
  </si>
  <si>
    <t>Electronics → Highest revenue</t>
  </si>
  <si>
    <t>Furniture → Stable</t>
  </si>
  <si>
    <t>Appliances → High quantity, low price</t>
  </si>
  <si>
    <t>🌍 4. Region Analysis</t>
  </si>
  <si>
    <t>North → Top performer</t>
  </si>
  <si>
    <t>West → Second</t>
  </si>
  <si>
    <t>East/Central → Average</t>
  </si>
  <si>
    <t>South → Lower</t>
  </si>
  <si>
    <t>👥 5. Customer Segments</t>
  </si>
  <si>
    <t>Premium → High spend</t>
  </si>
  <si>
    <t>Standard → Medium</t>
  </si>
  <si>
    <t>Basic → Low</t>
  </si>
  <si>
    <r>
      <t xml:space="preserve">📌 Focus: Convert </t>
    </r>
    <r>
      <rPr>
        <b/>
        <sz val="11"/>
        <color theme="1"/>
        <rFont val="Calibri"/>
        <family val="2"/>
        <scheme val="minor"/>
      </rPr>
      <t>Standard → Premium</t>
    </r>
  </si>
  <si>
    <t>💳 6. Payment Trends</t>
  </si>
  <si>
    <t>Credit Card → #1</t>
  </si>
  <si>
    <t>Debit Card → #2</t>
  </si>
  <si>
    <t>Cash → Still used</t>
  </si>
  <si>
    <t>PayPal → Growing</t>
  </si>
  <si>
    <t>📅 7. Time Trends</t>
  </si>
  <si>
    <t>Sales peak in mid-year/festive time</t>
  </si>
  <si>
    <t>Growth increasing over time</t>
  </si>
  <si>
    <t>🏆 8. Top Performers</t>
  </si>
  <si>
    <t>Products: Laptop, Smartphone, Monitor</t>
  </si>
  <si>
    <t>Customers: Top few generate most revenue (80/20 rule)</t>
  </si>
  <si>
    <t>📊 9. Key Insights</t>
  </si>
  <si>
    <t>Revenue comes from high-value products</t>
  </si>
  <si>
    <t>Premium customers drive business</t>
  </si>
  <si>
    <t>North &amp; West are key regions</t>
  </si>
  <si>
    <t>Digital payments increasing</t>
  </si>
  <si>
    <t>Upselling opportunity exists</t>
  </si>
  <si>
    <t>🚀 10. Recommendations</t>
  </si>
  <si>
    <t>Target Premium customers</t>
  </si>
  <si>
    <t>Promote high-value products</t>
  </si>
  <si>
    <t>Focus on North &amp; West</t>
  </si>
  <si>
    <t>Offer bundles for Appliances</t>
  </si>
  <si>
    <t>Encourage digital payments</t>
  </si>
  <si>
    <t>Create loyalty programs</t>
  </si>
  <si>
    <t>📌 11. Dashboard Ideas</t>
  </si>
  <si>
    <t>Bar → Category Sales</t>
  </si>
  <si>
    <t>Line → Monthly Trend</t>
  </si>
  <si>
    <t>Pie → Payment Method</t>
  </si>
  <si>
    <t>Bar → Region Sales</t>
  </si>
  <si>
    <t>KPI → Revenue, Orders, Avg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</si>
</sst>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1"/>
      <color theme="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8"/>
      <color theme="1"/>
      <name val="Calibri"/>
      <family val="2"/>
      <scheme val="minor"/>
    </font>
    <font>
      <sz val="12"/>
      <color theme="1"/>
      <name val="Calibri"/>
      <family val="2"/>
      <scheme val="minor"/>
    </font>
    <font>
      <sz val="10"/>
      <color theme="1"/>
      <name val="Arial Unicode MS"/>
    </font>
  </fonts>
  <fills count="12">
    <fill>
      <patternFill patternType="none"/>
    </fill>
    <fill>
      <patternFill patternType="gray125"/>
    </fill>
    <fill>
      <patternFill patternType="solid">
        <fgColor theme="2" tint="-0.499984740745262"/>
        <bgColor indexed="64"/>
      </patternFill>
    </fill>
    <fill>
      <patternFill patternType="solid">
        <fgColor theme="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79998168889431442"/>
        <bgColor theme="4" tint="0.79998168889431442"/>
      </patternFill>
    </fill>
    <fill>
      <patternFill patternType="solid">
        <fgColor theme="4"/>
        <bgColor indexed="64"/>
      </patternFill>
    </fill>
    <fill>
      <patternFill patternType="solid">
        <fgColor theme="2" tint="-9.9978637043366805E-2"/>
        <bgColor indexed="64"/>
      </patternFill>
    </fill>
    <fill>
      <patternFill patternType="solid">
        <fgColor theme="1"/>
        <bgColor indexed="64"/>
      </patternFill>
    </fill>
    <fill>
      <patternFill patternType="solid">
        <fgColor theme="1" tint="0.14999847407452621"/>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theme="4" tint="0.39997558519241921"/>
      </bottom>
      <diagonal/>
    </border>
  </borders>
  <cellStyleXfs count="1">
    <xf numFmtId="0" fontId="0" fillId="0" borderId="0"/>
  </cellStyleXfs>
  <cellXfs count="48">
    <xf numFmtId="0" fontId="0" fillId="0" borderId="0" xfId="0"/>
    <xf numFmtId="0" fontId="0" fillId="0" borderId="1" xfId="0" applyBorder="1" applyAlignment="1">
      <alignment wrapText="1"/>
    </xf>
    <xf numFmtId="0" fontId="1" fillId="0" borderId="1" xfId="0" applyFont="1" applyBorder="1" applyAlignment="1">
      <alignment wrapText="1"/>
    </xf>
    <xf numFmtId="14" fontId="0" fillId="0" borderId="0" xfId="0" applyNumberFormat="1"/>
    <xf numFmtId="14" fontId="0" fillId="0" borderId="1" xfId="0" applyNumberFormat="1" applyBorder="1" applyAlignment="1">
      <alignment horizontal="right" wrapText="1"/>
    </xf>
    <xf numFmtId="0" fontId="0" fillId="0" borderId="1" xfId="0" applyBorder="1" applyAlignment="1">
      <alignment horizontal="right" wrapText="1"/>
    </xf>
    <xf numFmtId="0" fontId="1" fillId="0" borderId="2" xfId="0" applyFont="1" applyBorder="1" applyAlignment="1">
      <alignment wrapText="1"/>
    </xf>
    <xf numFmtId="22" fontId="0" fillId="0" borderId="0" xfId="0" applyNumberFormat="1"/>
    <xf numFmtId="0" fontId="1" fillId="2" borderId="2" xfId="0" applyFont="1" applyFill="1" applyBorder="1" applyAlignment="1">
      <alignment wrapText="1"/>
    </xf>
    <xf numFmtId="0" fontId="0" fillId="0" borderId="0" xfId="0" applyAlignment="1">
      <alignment horizontal="center"/>
    </xf>
    <xf numFmtId="0" fontId="1" fillId="2" borderId="1" xfId="0" applyFont="1" applyFill="1" applyBorder="1" applyAlignment="1">
      <alignment wrapText="1"/>
    </xf>
    <xf numFmtId="0" fontId="0" fillId="2" borderId="1" xfId="0" applyFill="1" applyBorder="1" applyAlignment="1">
      <alignment horizontal="right" wrapText="1"/>
    </xf>
    <xf numFmtId="0" fontId="0" fillId="0" borderId="2" xfId="0" applyFill="1" applyBorder="1" applyAlignment="1"/>
    <xf numFmtId="0" fontId="1" fillId="0" borderId="2" xfId="0" applyFont="1" applyFill="1" applyBorder="1" applyAlignment="1">
      <alignment wrapText="1"/>
    </xf>
    <xf numFmtId="0" fontId="1" fillId="3" borderId="2" xfId="0" applyFont="1" applyFill="1" applyBorder="1" applyAlignment="1">
      <alignment wrapText="1"/>
    </xf>
    <xf numFmtId="14" fontId="0" fillId="3" borderId="0" xfId="0" applyNumberFormat="1" applyFill="1"/>
    <xf numFmtId="22" fontId="0" fillId="3" borderId="0" xfId="0" applyNumberFormat="1" applyFill="1"/>
    <xf numFmtId="9" fontId="0" fillId="0" borderId="0" xfId="0" applyNumberFormat="1"/>
    <xf numFmtId="0" fontId="0" fillId="0" borderId="0" xfId="0" applyFill="1" applyBorder="1" applyAlignment="1"/>
    <xf numFmtId="9" fontId="0" fillId="0" borderId="0" xfId="0" applyNumberFormat="1" applyFill="1" applyBorder="1" applyAlignment="1"/>
    <xf numFmtId="0" fontId="3" fillId="4" borderId="4" xfId="0" applyFont="1" applyFill="1" applyBorder="1" applyAlignment="1">
      <alignment horizontal="left"/>
    </xf>
    <xf numFmtId="0" fontId="3" fillId="4" borderId="3" xfId="0" applyFont="1" applyFill="1" applyBorder="1" applyAlignment="1">
      <alignment horizontal="left"/>
    </xf>
    <xf numFmtId="0" fontId="0" fillId="0" borderId="5" xfId="0" applyFill="1" applyBorder="1" applyAlignment="1"/>
    <xf numFmtId="0" fontId="4" fillId="5" borderId="0" xfId="0" applyFont="1" applyFill="1" applyBorder="1" applyAlignment="1">
      <alignment horizontal="left"/>
    </xf>
    <xf numFmtId="0" fontId="5" fillId="5" borderId="5" xfId="0" applyFont="1" applyFill="1" applyBorder="1" applyAlignment="1">
      <alignment horizontal="left"/>
    </xf>
    <xf numFmtId="0" fontId="6" fillId="4" borderId="3" xfId="0" applyFont="1" applyFill="1" applyBorder="1" applyAlignment="1">
      <alignment horizontal="right"/>
    </xf>
    <xf numFmtId="0" fontId="6" fillId="4" borderId="4" xfId="0" applyFont="1" applyFill="1" applyBorder="1" applyAlignment="1">
      <alignment horizontal="right"/>
    </xf>
    <xf numFmtId="0" fontId="5" fillId="5" borderId="6" xfId="0" applyFont="1" applyFill="1" applyBorder="1" applyAlignment="1">
      <alignment horizontal="left"/>
    </xf>
    <xf numFmtId="0" fontId="0" fillId="0" borderId="6" xfId="0" applyFill="1" applyBorder="1" applyAlignment="1"/>
    <xf numFmtId="0" fontId="0" fillId="6" borderId="0" xfId="0" applyFill="1" applyBorder="1" applyAlignment="1"/>
    <xf numFmtId="9" fontId="0" fillId="6" borderId="0" xfId="0" applyNumberFormat="1" applyFill="1" applyBorder="1" applyAlignment="1"/>
    <xf numFmtId="0" fontId="7" fillId="0" borderId="0" xfId="0" applyFont="1" applyFill="1" applyBorder="1" applyAlignment="1">
      <alignment vertical="top"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0" fillId="0" borderId="0" xfId="0" applyNumberFormat="1"/>
    <xf numFmtId="0" fontId="1" fillId="7" borderId="7" xfId="0" applyFont="1" applyFill="1" applyBorder="1"/>
    <xf numFmtId="0" fontId="0" fillId="0" borderId="0" xfId="0" pivotButton="1"/>
    <xf numFmtId="0" fontId="0" fillId="0" borderId="0" xfId="0" applyAlignment="1">
      <alignment horizontal="left"/>
    </xf>
    <xf numFmtId="0" fontId="0" fillId="0" borderId="0" xfId="0" applyAlignment="1">
      <alignment horizontal="left"/>
    </xf>
    <xf numFmtId="0" fontId="1" fillId="8" borderId="2" xfId="0" applyFont="1" applyFill="1" applyBorder="1" applyAlignment="1">
      <alignment wrapText="1"/>
    </xf>
    <xf numFmtId="0" fontId="0" fillId="8" borderId="0" xfId="0" applyFill="1"/>
    <xf numFmtId="0" fontId="1" fillId="9" borderId="2" xfId="0" applyFont="1" applyFill="1" applyBorder="1" applyAlignment="1">
      <alignment wrapText="1"/>
    </xf>
    <xf numFmtId="0" fontId="0" fillId="9" borderId="0" xfId="0" applyFill="1"/>
    <xf numFmtId="0" fontId="0" fillId="0" borderId="0" xfId="0" applyFont="1"/>
    <xf numFmtId="0" fontId="2" fillId="10" borderId="0" xfId="0" applyFont="1" applyFill="1" applyAlignment="1">
      <alignment horizontal="center"/>
    </xf>
    <xf numFmtId="0" fontId="0" fillId="11" borderId="0" xfId="0" applyFont="1" applyFill="1"/>
    <xf numFmtId="0" fontId="0" fillId="0" borderId="0" xfId="0" applyAlignment="1">
      <alignment horizontal="left" vertical="center" indent="1"/>
    </xf>
  </cellXfs>
  <cellStyles count="1">
    <cellStyle name="Normal" xfId="0" builtinId="0"/>
  </cellStyles>
  <dxfs count="3">
    <dxf>
      <font>
        <b/>
        <i val="0"/>
      </font>
      <fill>
        <patternFill>
          <bgColor rgb="FFFF0000"/>
        </patternFill>
      </fill>
    </dxf>
    <dxf>
      <font>
        <b/>
        <i val="0"/>
      </font>
      <fill>
        <patternFill>
          <bgColor rgb="FF00B050"/>
        </patternFill>
      </fill>
    </dxf>
    <dxf>
      <font>
        <b/>
        <i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Bar</a:t>
            </a:r>
            <a:r>
              <a:rPr lang="en-IN" baseline="0"/>
              <a:t> Chart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 &amp; Slicer'!$D$4:$D$13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&amp; Slicer'!$E$4:$E$13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8A14-45F0-93B3-59176D33413F}"/>
            </c:ext>
          </c:extLst>
        </c:ser>
        <c:dLbls>
          <c:dLblPos val="outEnd"/>
          <c:showLegendKey val="0"/>
          <c:showVal val="1"/>
          <c:showCatName val="0"/>
          <c:showSerName val="0"/>
          <c:showPercent val="0"/>
          <c:showBubbleSize val="0"/>
        </c:dLbls>
        <c:gapWidth val="115"/>
        <c:overlap val="-20"/>
        <c:axId val="296095184"/>
        <c:axId val="296094704"/>
      </c:barChart>
      <c:catAx>
        <c:axId val="2960951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Row</a:t>
                </a:r>
                <a:r>
                  <a:rPr lang="en-IN" baseline="0"/>
                  <a:t>  Labels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094704"/>
        <c:crosses val="autoZero"/>
        <c:auto val="1"/>
        <c:lblAlgn val="ctr"/>
        <c:lblOffset val="100"/>
        <c:noMultiLvlLbl val="0"/>
      </c:catAx>
      <c:valAx>
        <c:axId val="2960947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aMOUNT</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Line Chart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'Pivot Tables &amp; Charts &amp; Slicer'!$D$4:$D$13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&amp; Slicer'!$E$4:$E$13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c:ext xmlns:c16="http://schemas.microsoft.com/office/drawing/2014/chart" uri="{C3380CC4-5D6E-409C-BE32-E72D297353CC}">
              <c16:uniqueId val="{00000000-5EE0-4107-B480-29B908BE542D}"/>
            </c:ext>
          </c:extLst>
        </c:ser>
        <c:dLbls>
          <c:showLegendKey val="0"/>
          <c:showVal val="0"/>
          <c:showCatName val="0"/>
          <c:showSerName val="0"/>
          <c:showPercent val="0"/>
          <c:showBubbleSize val="0"/>
        </c:dLbls>
        <c:smooth val="0"/>
        <c:axId val="724922768"/>
        <c:axId val="724923248"/>
      </c:lineChart>
      <c:catAx>
        <c:axId val="724922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Total</a:t>
                </a:r>
                <a:r>
                  <a:rPr lang="en-IN" baseline="0"/>
                  <a:t> Amount</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923248"/>
        <c:crosses val="autoZero"/>
        <c:auto val="1"/>
        <c:lblAlgn val="ctr"/>
        <c:lblOffset val="100"/>
        <c:noMultiLvlLbl val="0"/>
      </c:catAx>
      <c:valAx>
        <c:axId val="7249232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800" b="1" i="0" u="none" strike="noStrike" kern="1200" cap="all" baseline="0">
                    <a:solidFill>
                      <a:sysClr val="window" lastClr="FFFFFF">
                        <a:lumMod val="85000"/>
                      </a:sysClr>
                    </a:solidFill>
                  </a:rPr>
                  <a:t>Row Labels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92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Pie Chart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&amp; Charts &amp; Slicer'!$D$4:$D$13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&amp; Slicer'!$E$4:$E$13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5B32-4D54-8C7F-84829A96C6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Bar Chart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 &amp; Slicer'!$D$4:$D$13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&amp; Slicer'!$E$4:$E$13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CCAD-49CA-84BA-7037A7B88290}"/>
            </c:ext>
          </c:extLst>
        </c:ser>
        <c:dLbls>
          <c:dLblPos val="outEnd"/>
          <c:showLegendKey val="0"/>
          <c:showVal val="1"/>
          <c:showCatName val="0"/>
          <c:showSerName val="0"/>
          <c:showPercent val="0"/>
          <c:showBubbleSize val="0"/>
        </c:dLbls>
        <c:gapWidth val="115"/>
        <c:overlap val="-20"/>
        <c:axId val="296095184"/>
        <c:axId val="296094704"/>
      </c:barChart>
      <c:catAx>
        <c:axId val="296095184"/>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094704"/>
        <c:crosses val="autoZero"/>
        <c:auto val="1"/>
        <c:lblAlgn val="ctr"/>
        <c:lblOffset val="100"/>
        <c:noMultiLvlLbl val="0"/>
      </c:catAx>
      <c:valAx>
        <c:axId val="29609470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Line Chart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2"/>
              </a:solidFill>
              <a:round/>
            </a:ln>
            <a:effectLst/>
          </c:spPr>
          <c:marker>
            <c:symbol val="none"/>
          </c:marker>
          <c:cat>
            <c:strRef>
              <c:f>'Pivot Tables &amp; Charts &amp; Slicer'!$D$4:$D$13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&amp; Slicer'!$E$4:$E$13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c:ext xmlns:c16="http://schemas.microsoft.com/office/drawing/2014/chart" uri="{C3380CC4-5D6E-409C-BE32-E72D297353CC}">
              <c16:uniqueId val="{00000000-0611-46DB-B314-350A20973C65}"/>
            </c:ext>
          </c:extLst>
        </c:ser>
        <c:dLbls>
          <c:showLegendKey val="0"/>
          <c:showVal val="0"/>
          <c:showCatName val="0"/>
          <c:showSerName val="0"/>
          <c:showPercent val="0"/>
          <c:showBubbleSize val="0"/>
        </c:dLbls>
        <c:smooth val="0"/>
        <c:axId val="724922768"/>
        <c:axId val="724923248"/>
      </c:lineChart>
      <c:catAx>
        <c:axId val="7249227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Total 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4923248"/>
        <c:crosses val="autoZero"/>
        <c:auto val="1"/>
        <c:lblAlgn val="ctr"/>
        <c:lblOffset val="100"/>
        <c:noMultiLvlLbl val="0"/>
      </c:catAx>
      <c:valAx>
        <c:axId val="7249232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Row Labels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492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Pie Chart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F0D-4107-B8BC-32296602AE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F0D-4107-B8BC-32296602AEB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F0D-4107-B8BC-32296602AEB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1F0D-4107-B8BC-32296602AEB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1F0D-4107-B8BC-32296602AEB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1F0D-4107-B8BC-32296602AEB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1F0D-4107-B8BC-32296602AEB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1F0D-4107-B8BC-32296602AEB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1F0D-4107-B8BC-32296602AEB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1F0D-4107-B8BC-32296602AE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&amp; Charts &amp; Slicer'!$D$4:$D$13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&amp; Slicer'!$E$4:$E$13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14-1F0D-4107-B8BC-32296602AE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426720</xdr:colOff>
      <xdr:row>1</xdr:row>
      <xdr:rowOff>72390</xdr:rowOff>
    </xdr:from>
    <xdr:to>
      <xdr:col>13</xdr:col>
      <xdr:colOff>121920</xdr:colOff>
      <xdr:row>16</xdr:row>
      <xdr:rowOff>72390</xdr:rowOff>
    </xdr:to>
    <xdr:graphicFrame macro="">
      <xdr:nvGraphicFramePr>
        <xdr:cNvPr id="2" name="Chart 1">
          <a:extLst>
            <a:ext uri="{FF2B5EF4-FFF2-40B4-BE49-F238E27FC236}">
              <a16:creationId xmlns:a16="http://schemas.microsoft.com/office/drawing/2014/main" id="{AF145D2D-6CAE-556F-8B60-A2262BF40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14</xdr:row>
      <xdr:rowOff>148590</xdr:rowOff>
    </xdr:from>
    <xdr:to>
      <xdr:col>4</xdr:col>
      <xdr:colOff>1043940</xdr:colOff>
      <xdr:row>29</xdr:row>
      <xdr:rowOff>148590</xdr:rowOff>
    </xdr:to>
    <xdr:graphicFrame macro="">
      <xdr:nvGraphicFramePr>
        <xdr:cNvPr id="3" name="Chart 2">
          <a:extLst>
            <a:ext uri="{FF2B5EF4-FFF2-40B4-BE49-F238E27FC236}">
              <a16:creationId xmlns:a16="http://schemas.microsoft.com/office/drawing/2014/main" id="{4E95066D-ACCE-D8E5-41D5-0293A8C48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220980</xdr:colOff>
      <xdr:row>17</xdr:row>
      <xdr:rowOff>57150</xdr:rowOff>
    </xdr:from>
    <xdr:to>
      <xdr:col>12</xdr:col>
      <xdr:colOff>525780</xdr:colOff>
      <xdr:row>32</xdr:row>
      <xdr:rowOff>57150</xdr:rowOff>
    </xdr:to>
    <xdr:graphicFrame macro="">
      <xdr:nvGraphicFramePr>
        <xdr:cNvPr id="4" name="Chart 3">
          <a:extLst>
            <a:ext uri="{FF2B5EF4-FFF2-40B4-BE49-F238E27FC236}">
              <a16:creationId xmlns:a16="http://schemas.microsoft.com/office/drawing/2014/main" id="{2A99A42F-F1E3-F7E1-10FB-29DD2BCFA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121920</xdr:colOff>
      <xdr:row>2</xdr:row>
      <xdr:rowOff>121920</xdr:rowOff>
    </xdr:from>
    <xdr:to>
      <xdr:col>16</xdr:col>
      <xdr:colOff>121920</xdr:colOff>
      <xdr:row>16</xdr:row>
      <xdr:rowOff>28575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4D8BAA2-AF6A-3596-1869-BBD7C7A424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20300" y="48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160020</xdr:colOff>
      <xdr:row>2</xdr:row>
      <xdr:rowOff>91440</xdr:rowOff>
    </xdr:from>
    <xdr:to>
      <xdr:col>19</xdr:col>
      <xdr:colOff>160020</xdr:colOff>
      <xdr:row>15</xdr:row>
      <xdr:rowOff>180975</xdr:rowOff>
    </xdr:to>
    <mc:AlternateContent xmlns:mc="http://schemas.openxmlformats.org/markup-compatibility/2006">
      <mc:Choice xmlns:a14="http://schemas.microsoft.com/office/drawing/2010/main" Requires="a14">
        <xdr:graphicFrame macro="">
          <xdr:nvGraphicFramePr>
            <xdr:cNvPr id="6" name="Total_Amount">
              <a:extLst>
                <a:ext uri="{FF2B5EF4-FFF2-40B4-BE49-F238E27FC236}">
                  <a16:creationId xmlns:a16="http://schemas.microsoft.com/office/drawing/2014/main" id="{AD4CB111-3E22-589B-81FA-090A6BC02D17}"/>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dr:sp macro="" textlink="">
          <xdr:nvSpPr>
            <xdr:cNvPr id="0" name=""/>
            <xdr:cNvSpPr>
              <a:spLocks noTextEdit="1"/>
            </xdr:cNvSpPr>
          </xdr:nvSpPr>
          <xdr:spPr>
            <a:xfrm>
              <a:off x="1188720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15240</xdr:rowOff>
    </xdr:from>
    <xdr:to>
      <xdr:col>3</xdr:col>
      <xdr:colOff>0</xdr:colOff>
      <xdr:row>17</xdr:row>
      <xdr:rowOff>104775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8FE5755E-D837-4A97-BF6F-F68F133D53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739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xdr:row>
      <xdr:rowOff>53340</xdr:rowOff>
    </xdr:from>
    <xdr:to>
      <xdr:col>6</xdr:col>
      <xdr:colOff>0</xdr:colOff>
      <xdr:row>17</xdr:row>
      <xdr:rowOff>83820</xdr:rowOff>
    </xdr:to>
    <mc:AlternateContent xmlns:mc="http://schemas.openxmlformats.org/markup-compatibility/2006">
      <mc:Choice xmlns:a14="http://schemas.microsoft.com/office/drawing/2010/main" Requires="a14">
        <xdr:graphicFrame macro="">
          <xdr:nvGraphicFramePr>
            <xdr:cNvPr id="4" name="Total_Amount 1">
              <a:extLst>
                <a:ext uri="{FF2B5EF4-FFF2-40B4-BE49-F238E27FC236}">
                  <a16:creationId xmlns:a16="http://schemas.microsoft.com/office/drawing/2014/main" id="{5E0E73F1-79B9-4633-8245-76D5D97E70B9}"/>
                </a:ext>
              </a:extLst>
            </xdr:cNvPr>
            <xdr:cNvGraphicFramePr/>
          </xdr:nvGraphicFramePr>
          <xdr:xfrm>
            <a:off x="0" y="0"/>
            <a:ext cx="0" cy="0"/>
          </xdr:xfrm>
          <a:graphic>
            <a:graphicData uri="http://schemas.microsoft.com/office/drawing/2010/slicer">
              <sle:slicer xmlns:sle="http://schemas.microsoft.com/office/drawing/2010/slicer" name="Total_Amount 1"/>
            </a:graphicData>
          </a:graphic>
        </xdr:graphicFrame>
      </mc:Choice>
      <mc:Fallback>
        <xdr:sp macro="" textlink="">
          <xdr:nvSpPr>
            <xdr:cNvPr id="0" name=""/>
            <xdr:cNvSpPr>
              <a:spLocks noTextEdit="1"/>
            </xdr:cNvSpPr>
          </xdr:nvSpPr>
          <xdr:spPr>
            <a:xfrm>
              <a:off x="1828800" y="411480"/>
              <a:ext cx="182880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1</xdr:row>
      <xdr:rowOff>167640</xdr:rowOff>
    </xdr:from>
    <xdr:to>
      <xdr:col>1</xdr:col>
      <xdr:colOff>525780</xdr:colOff>
      <xdr:row>3</xdr:row>
      <xdr:rowOff>160020</xdr:rowOff>
    </xdr:to>
    <xdr:sp macro="" textlink="">
      <xdr:nvSpPr>
        <xdr:cNvPr id="5" name="Flowchart: Terminator 4">
          <a:extLst>
            <a:ext uri="{FF2B5EF4-FFF2-40B4-BE49-F238E27FC236}">
              <a16:creationId xmlns:a16="http://schemas.microsoft.com/office/drawing/2014/main" id="{7AD89D5D-0555-1A9E-78AF-6A5805C3BCED}"/>
            </a:ext>
          </a:extLst>
        </xdr:cNvPr>
        <xdr:cNvSpPr/>
      </xdr:nvSpPr>
      <xdr:spPr>
        <a:xfrm>
          <a:off x="60960" y="350520"/>
          <a:ext cx="1074420" cy="35052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Filters</a:t>
          </a:r>
        </a:p>
      </xdr:txBody>
    </xdr:sp>
    <xdr:clientData/>
  </xdr:twoCellAnchor>
  <xdr:twoCellAnchor editAs="oneCell">
    <xdr:from>
      <xdr:col>0</xdr:col>
      <xdr:colOff>83820</xdr:colOff>
      <xdr:row>1</xdr:row>
      <xdr:rowOff>121920</xdr:rowOff>
    </xdr:from>
    <xdr:to>
      <xdr:col>0</xdr:col>
      <xdr:colOff>487680</xdr:colOff>
      <xdr:row>4</xdr:row>
      <xdr:rowOff>60960</xdr:rowOff>
    </xdr:to>
    <xdr:pic>
      <xdr:nvPicPr>
        <xdr:cNvPr id="7" name="Graphic 6" descr="Filter">
          <a:extLst>
            <a:ext uri="{FF2B5EF4-FFF2-40B4-BE49-F238E27FC236}">
              <a16:creationId xmlns:a16="http://schemas.microsoft.com/office/drawing/2014/main" id="{3068C19F-C710-ED8C-73BC-895C914A1B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 y="304800"/>
          <a:ext cx="403860" cy="480060"/>
        </a:xfrm>
        <a:prstGeom prst="rect">
          <a:avLst/>
        </a:prstGeom>
      </xdr:spPr>
    </xdr:pic>
    <xdr:clientData/>
  </xdr:twoCellAnchor>
  <xdr:twoCellAnchor>
    <xdr:from>
      <xdr:col>6</xdr:col>
      <xdr:colOff>30480</xdr:colOff>
      <xdr:row>2</xdr:row>
      <xdr:rowOff>45720</xdr:rowOff>
    </xdr:from>
    <xdr:to>
      <xdr:col>13</xdr:col>
      <xdr:colOff>594360</xdr:colOff>
      <xdr:row>17</xdr:row>
      <xdr:rowOff>99060</xdr:rowOff>
    </xdr:to>
    <xdr:graphicFrame macro="">
      <xdr:nvGraphicFramePr>
        <xdr:cNvPr id="8" name="Chart 7">
          <a:extLst>
            <a:ext uri="{FF2B5EF4-FFF2-40B4-BE49-F238E27FC236}">
              <a16:creationId xmlns:a16="http://schemas.microsoft.com/office/drawing/2014/main" id="{A9227BBC-DFC0-4A87-8EBB-9E2FC1C35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17</xdr:row>
      <xdr:rowOff>114300</xdr:rowOff>
    </xdr:from>
    <xdr:to>
      <xdr:col>7</xdr:col>
      <xdr:colOff>327660</xdr:colOff>
      <xdr:row>32</xdr:row>
      <xdr:rowOff>114300</xdr:rowOff>
    </xdr:to>
    <xdr:graphicFrame macro="">
      <xdr:nvGraphicFramePr>
        <xdr:cNvPr id="9" name="Chart 8">
          <a:extLst>
            <a:ext uri="{FF2B5EF4-FFF2-40B4-BE49-F238E27FC236}">
              <a16:creationId xmlns:a16="http://schemas.microsoft.com/office/drawing/2014/main" id="{F476C100-40E3-4D9F-BA93-D64AF4BA5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373380</xdr:colOff>
      <xdr:row>17</xdr:row>
      <xdr:rowOff>121920</xdr:rowOff>
    </xdr:from>
    <xdr:to>
      <xdr:col>13</xdr:col>
      <xdr:colOff>601980</xdr:colOff>
      <xdr:row>32</xdr:row>
      <xdr:rowOff>121920</xdr:rowOff>
    </xdr:to>
    <xdr:graphicFrame macro="">
      <xdr:nvGraphicFramePr>
        <xdr:cNvPr id="10" name="Chart 9">
          <a:extLst>
            <a:ext uri="{FF2B5EF4-FFF2-40B4-BE49-F238E27FC236}">
              <a16:creationId xmlns:a16="http://schemas.microsoft.com/office/drawing/2014/main" id="{89649F9F-C44E-472B-8836-5F5454F85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GNESH" refreshedDate="46116.50514814815" createdVersion="8" refreshedVersion="8" minRefreshableVersion="3" recordCount="250" xr:uid="{C9CAEABC-1C44-4DEF-AA6E-FF6FA1CB321A}">
  <cacheSource type="worksheet">
    <worksheetSource ref="A1:N251" sheet="Data Set"/>
  </cacheSource>
  <cacheFields count="14">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s>
  <extLst>
    <ext xmlns:x14="http://schemas.microsoft.com/office/spreadsheetml/2009/9/main" uri="{725AE2AE-9491-48be-B2B4-4EB974FC3084}">
      <x14:pivotCacheDefinition pivotCacheId="1943173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s v="Basic"/>
    <d v="2021-08-17T00:00:00"/>
    <x v="0"/>
  </r>
  <r>
    <s v="TRX0023"/>
    <d v="2024-04-14T00:00:00"/>
    <s v="CUST013"/>
    <s v="Joseph Jackson"/>
    <s v="P009"/>
    <x v="0"/>
    <s v="Electronics"/>
    <n v="3"/>
    <n v="249.99"/>
    <s v="Credit Card"/>
    <x v="0"/>
    <s v="Premium"/>
    <d v="2022-01-14T00:00:00"/>
    <x v="0"/>
  </r>
  <r>
    <s v="TRX0139"/>
    <d v="2024-04-17T00:00:00"/>
    <s v="CUST021"/>
    <s v="Kevin Scott"/>
    <s v="P005"/>
    <x v="1"/>
    <s v="Appliances"/>
    <n v="3"/>
    <n v="59.99"/>
    <s v="PayPal"/>
    <x v="1"/>
    <s v="Standard"/>
    <d v="2023-12-02T00:00:00"/>
    <x v="1"/>
  </r>
  <r>
    <s v="TRX0043"/>
    <d v="2024-04-18T00:00:00"/>
    <s v="CUST046"/>
    <s v="Kathleen Bennett"/>
    <s v="P005"/>
    <x v="1"/>
    <s v="Appliances"/>
    <n v="3"/>
    <n v="59.99"/>
    <s v="Cash"/>
    <x v="2"/>
    <s v="Premium"/>
    <d v="2023-07-07T00:00:00"/>
    <x v="1"/>
  </r>
  <r>
    <s v="TRX0212"/>
    <d v="2024-04-18T00:00:00"/>
    <s v="CUST003"/>
    <s v="Michael Brown"/>
    <s v="P008"/>
    <x v="2"/>
    <s v="Furniture"/>
    <n v="5"/>
    <n v="149.99"/>
    <s v="Credit Card"/>
    <x v="2"/>
    <s v="Premium"/>
    <d v="2024-01-04T00:00:00"/>
    <x v="2"/>
  </r>
  <r>
    <s v="TRX0092"/>
    <d v="2024-04-21T00:00:00"/>
    <s v="CUST024"/>
    <s v="Dorothy Nelson"/>
    <s v="P005"/>
    <x v="1"/>
    <s v="Appliances"/>
    <n v="2"/>
    <n v="59.99"/>
    <s v="Cash"/>
    <x v="3"/>
    <s v="Standard"/>
    <d v="2022-07-04T00:00:00"/>
    <x v="3"/>
  </r>
  <r>
    <s v="TRX0193"/>
    <d v="2024-04-21T00:00:00"/>
    <s v="CUST024"/>
    <s v="Dorothy Nelson"/>
    <s v="P003"/>
    <x v="3"/>
    <s v="Electronics"/>
    <n v="5"/>
    <n v="149.99"/>
    <s v="Credit Card"/>
    <x v="0"/>
    <s v="Standard"/>
    <d v="2021-08-10T00:00:00"/>
    <x v="2"/>
  </r>
  <r>
    <s v="TRX0240"/>
    <d v="2024-04-21T00:00:00"/>
    <s v="CUST017"/>
    <s v="Charles Allen"/>
    <s v="P005"/>
    <x v="1"/>
    <s v="Appliances"/>
    <n v="3"/>
    <n v="59.99"/>
    <s v="Debit Card"/>
    <x v="1"/>
    <s v="Basic"/>
    <d v="2023-03-22T00:00:00"/>
    <x v="1"/>
  </r>
  <r>
    <s v="TRX0135"/>
    <d v="2024-04-23T00:00:00"/>
    <s v="CUST009"/>
    <s v="Robert Thomas"/>
    <s v="P001"/>
    <x v="4"/>
    <s v="Electronics"/>
    <n v="3"/>
    <n v="899.99"/>
    <s v="PayPal"/>
    <x v="4"/>
    <s v="Standard"/>
    <d v="2024-01-08T00:00:00"/>
    <x v="4"/>
  </r>
  <r>
    <s v="TRX0185"/>
    <d v="2024-04-26T00:00:00"/>
    <s v="CUST026"/>
    <s v="Karen Hill"/>
    <s v="P005"/>
    <x v="1"/>
    <s v="Appliances"/>
    <n v="3"/>
    <n v="59.99"/>
    <s v="Cash"/>
    <x v="3"/>
    <s v="Premium"/>
    <d v="2023-10-08T00:00:00"/>
    <x v="1"/>
  </r>
  <r>
    <s v="TRX0138"/>
    <d v="2024-04-26T00:00:00"/>
    <s v="CUST022"/>
    <s v="Susan Green"/>
    <s v="P008"/>
    <x v="2"/>
    <s v="Furniture"/>
    <n v="1"/>
    <n v="149.99"/>
    <s v="Credit Card"/>
    <x v="3"/>
    <s v="Standard"/>
    <d v="2023-06-26T00:00:00"/>
    <x v="5"/>
  </r>
  <r>
    <s v="TRX0209"/>
    <d v="2024-04-26T00:00:00"/>
    <s v="CUST046"/>
    <s v="Kathleen Bennett"/>
    <s v="P008"/>
    <x v="2"/>
    <s v="Furniture"/>
    <n v="5"/>
    <n v="149.99"/>
    <s v="Debit Card"/>
    <x v="2"/>
    <s v="Basic"/>
    <d v="2022-09-26T00:00:00"/>
    <x v="2"/>
  </r>
  <r>
    <s v="TRX0246"/>
    <d v="2024-04-26T00:00:00"/>
    <s v="CUST041"/>
    <s v="Peter Richardson"/>
    <s v="P008"/>
    <x v="2"/>
    <s v="Furniture"/>
    <n v="3"/>
    <n v="149.99"/>
    <s v="Cash"/>
    <x v="2"/>
    <s v="Premium"/>
    <d v="2022-09-02T00:00:00"/>
    <x v="6"/>
  </r>
  <r>
    <s v="TRX0067"/>
    <d v="2024-04-27T00:00:00"/>
    <s v="CUST043"/>
    <s v="Dennis Gray"/>
    <s v="P005"/>
    <x v="1"/>
    <s v="Appliances"/>
    <n v="3"/>
    <n v="59.99"/>
    <s v="Credit Card"/>
    <x v="2"/>
    <s v="Standard"/>
    <d v="2024-02-29T00:00:00"/>
    <x v="1"/>
  </r>
  <r>
    <s v="TRX0191"/>
    <d v="2024-04-27T00:00:00"/>
    <s v="CUST038"/>
    <s v="Michelle Rogers"/>
    <s v="P002"/>
    <x v="5"/>
    <s v="Electronics"/>
    <n v="3"/>
    <n v="699.99"/>
    <s v="Credit Card"/>
    <x v="3"/>
    <s v="Basic"/>
    <d v="2022-01-16T00:00:00"/>
    <x v="7"/>
  </r>
  <r>
    <s v="TRX0230"/>
    <d v="2024-04-27T00:00:00"/>
    <s v="CUST027"/>
    <s v="George Adams"/>
    <s v="P001"/>
    <x v="4"/>
    <s v="Electronics"/>
    <n v="1"/>
    <n v="899.99"/>
    <s v="Debit Card"/>
    <x v="2"/>
    <s v="Standard"/>
    <d v="2022-12-25T00:00:00"/>
    <x v="8"/>
  </r>
  <r>
    <s v="TRX0049"/>
    <d v="2024-04-28T00:00:00"/>
    <s v="CUST025"/>
    <s v="Mark Carter"/>
    <s v="P008"/>
    <x v="2"/>
    <s v="Furniture"/>
    <n v="4"/>
    <n v="149.99"/>
    <s v="Debit Card"/>
    <x v="2"/>
    <s v="Premium"/>
    <d v="2024-03-23T00:00:00"/>
    <x v="9"/>
  </r>
  <r>
    <s v="TRX0134"/>
    <d v="2024-04-28T00:00:00"/>
    <s v="CUST010"/>
    <s v="Maria Garcia"/>
    <s v="P002"/>
    <x v="5"/>
    <s v="Electronics"/>
    <n v="2"/>
    <n v="699.99"/>
    <s v="Cash"/>
    <x v="2"/>
    <s v="Basic"/>
    <d v="2022-08-08T00:00:00"/>
    <x v="10"/>
  </r>
  <r>
    <s v="TRX0122"/>
    <d v="2024-04-28T00:00:00"/>
    <s v="CUST025"/>
    <s v="Mark Carter"/>
    <s v="P001"/>
    <x v="4"/>
    <s v="Electronics"/>
    <n v="4"/>
    <n v="899.99"/>
    <s v="Credit Card"/>
    <x v="3"/>
    <s v="Standard"/>
    <d v="2024-02-05T00:00:00"/>
    <x v="11"/>
  </r>
  <r>
    <s v="TRX0222"/>
    <d v="2024-04-28T00:00:00"/>
    <s v="CUST048"/>
    <s v="Virginia Sanders"/>
    <s v="P009"/>
    <x v="0"/>
    <s v="Electronics"/>
    <n v="3"/>
    <n v="249.99"/>
    <s v="Credit Card"/>
    <x v="2"/>
    <s v="Premium"/>
    <d v="2023-10-25T00:00:00"/>
    <x v="0"/>
  </r>
  <r>
    <s v="TRX0231"/>
    <d v="2024-04-30T00:00:00"/>
    <s v="CUST018"/>
    <s v="Barbara Young"/>
    <s v="P002"/>
    <x v="5"/>
    <s v="Electronics"/>
    <n v="5"/>
    <n v="699.99"/>
    <s v="Cash"/>
    <x v="3"/>
    <s v="Basic"/>
    <d v="2023-08-29T00:00:00"/>
    <x v="12"/>
  </r>
  <r>
    <s v="TRX0239"/>
    <d v="2024-05-01T00:00:00"/>
    <s v="CUST012"/>
    <s v="Patricia Moore"/>
    <s v="P002"/>
    <x v="5"/>
    <s v="Electronics"/>
    <n v="4"/>
    <n v="699.99"/>
    <s v="Cash"/>
    <x v="4"/>
    <s v="Standard"/>
    <d v="2021-08-01T00:00:00"/>
    <x v="13"/>
  </r>
  <r>
    <s v="TRX0204"/>
    <d v="2024-05-03T00:00:00"/>
    <s v="CUST044"/>
    <s v="Cynthia Price"/>
    <s v="P009"/>
    <x v="0"/>
    <s v="Electronics"/>
    <n v="4"/>
    <n v="249.99"/>
    <s v="PayPal"/>
    <x v="2"/>
    <s v="Standard"/>
    <d v="2021-09-29T00:00:00"/>
    <x v="14"/>
  </r>
  <r>
    <s v="TRX0242"/>
    <d v="2024-05-04T00:00:00"/>
    <s v="CUST025"/>
    <s v="Mark Carter"/>
    <s v="P007"/>
    <x v="6"/>
    <s v="Furniture"/>
    <n v="4"/>
    <n v="299.99"/>
    <s v="Cash"/>
    <x v="3"/>
    <s v="Premium"/>
    <d v="2022-06-04T00:00:00"/>
    <x v="15"/>
  </r>
  <r>
    <s v="TRX0071"/>
    <d v="2024-05-10T00:00:00"/>
    <s v="CUST036"/>
    <s v="Nancy Collins"/>
    <s v="P009"/>
    <x v="0"/>
    <s v="Electronics"/>
    <n v="5"/>
    <n v="249.99"/>
    <s v="Credit Card"/>
    <x v="3"/>
    <s v="Standard"/>
    <d v="2021-11-25T00:00:00"/>
    <x v="16"/>
  </r>
  <r>
    <s v="TRX0040"/>
    <d v="2024-05-12T00:00:00"/>
    <s v="CUST022"/>
    <s v="Susan Green"/>
    <s v="P007"/>
    <x v="6"/>
    <s v="Furniture"/>
    <n v="5"/>
    <n v="299.99"/>
    <s v="PayPal"/>
    <x v="4"/>
    <s v="Basic"/>
    <d v="2023-08-30T00:00:00"/>
    <x v="17"/>
  </r>
  <r>
    <s v="TRX0235"/>
    <d v="2024-05-12T00:00:00"/>
    <s v="CUST014"/>
    <s v="Linda Martin"/>
    <s v="P004"/>
    <x v="7"/>
    <s v="Appliances"/>
    <n v="3"/>
    <n v="79.989999999999995"/>
    <s v="PayPal"/>
    <x v="4"/>
    <s v="Premium"/>
    <d v="2023-03-27T00:00:00"/>
    <x v="18"/>
  </r>
  <r>
    <s v="TRX0004"/>
    <d v="2024-05-12T00:00:00"/>
    <s v="CUST012"/>
    <s v="Patricia Moore"/>
    <s v="P010"/>
    <x v="8"/>
    <s v="Electronics"/>
    <n v="5"/>
    <n v="89.99"/>
    <s v="Cash"/>
    <x v="2"/>
    <s v="Premium"/>
    <d v="2022-12-24T00:00:00"/>
    <x v="19"/>
  </r>
  <r>
    <s v="TRX0063"/>
    <d v="2024-05-13T00:00:00"/>
    <s v="CUST030"/>
    <s v="Helen Roberts"/>
    <s v="P005"/>
    <x v="1"/>
    <s v="Appliances"/>
    <n v="2"/>
    <n v="59.99"/>
    <s v="Debit Card"/>
    <x v="0"/>
    <s v="Standard"/>
    <d v="2023-10-15T00:00:00"/>
    <x v="3"/>
  </r>
  <r>
    <s v="TRX0241"/>
    <d v="2024-05-15T00:00:00"/>
    <s v="CUST029"/>
    <s v="Edward Mitchell"/>
    <s v="P005"/>
    <x v="1"/>
    <s v="Appliances"/>
    <n v="4"/>
    <n v="59.99"/>
    <s v="Debit Card"/>
    <x v="4"/>
    <s v="Standard"/>
    <d v="2022-11-02T00:00:00"/>
    <x v="20"/>
  </r>
  <r>
    <s v="TRX0029"/>
    <d v="2024-05-15T00:00:00"/>
    <s v="CUST017"/>
    <s v="Charles Allen"/>
    <s v="P006"/>
    <x v="9"/>
    <s v="Furniture"/>
    <n v="5"/>
    <n v="199.99"/>
    <s v="Cash"/>
    <x v="1"/>
    <s v="Standard"/>
    <d v="2021-08-04T00:00:00"/>
    <x v="21"/>
  </r>
  <r>
    <s v="TRX0194"/>
    <d v="2024-05-16T00:00:00"/>
    <s v="CUST006"/>
    <s v="Lisa Anderson"/>
    <s v="P008"/>
    <x v="2"/>
    <s v="Furniture"/>
    <n v="2"/>
    <n v="149.99"/>
    <s v="Credit Card"/>
    <x v="3"/>
    <s v="Basic"/>
    <d v="2022-09-19T00:00:00"/>
    <x v="22"/>
  </r>
  <r>
    <s v="TRX0130"/>
    <d v="2024-05-18T00:00:00"/>
    <s v="CUST002"/>
    <s v="Emma Wilson"/>
    <s v="P008"/>
    <x v="2"/>
    <s v="Furniture"/>
    <n v="3"/>
    <n v="149.99"/>
    <s v="Credit Card"/>
    <x v="3"/>
    <s v="Premium"/>
    <d v="2023-05-22T00:00:00"/>
    <x v="6"/>
  </r>
  <r>
    <s v="TRX0041"/>
    <d v="2024-05-20T00:00:00"/>
    <s v="CUST021"/>
    <s v="Kevin Scott"/>
    <s v="P001"/>
    <x v="4"/>
    <s v="Electronics"/>
    <n v="1"/>
    <n v="899.99"/>
    <s v="Credit Card"/>
    <x v="3"/>
    <s v="Premium"/>
    <d v="2022-01-17T00:00:00"/>
    <x v="8"/>
  </r>
  <r>
    <s v="TRX0232"/>
    <d v="2024-05-22T00:00:00"/>
    <s v="CUST012"/>
    <s v="Patricia Moore"/>
    <s v="P007"/>
    <x v="6"/>
    <s v="Furniture"/>
    <n v="3"/>
    <n v="299.99"/>
    <s v="Credit Card"/>
    <x v="4"/>
    <s v="Basic"/>
    <d v="2022-09-20T00:00:00"/>
    <x v="23"/>
  </r>
  <r>
    <s v="TRX0021"/>
    <d v="2024-05-23T00:00:00"/>
    <s v="CUST006"/>
    <s v="Lisa Anderson"/>
    <s v="P004"/>
    <x v="7"/>
    <s v="Appliances"/>
    <n v="3"/>
    <n v="79.989999999999995"/>
    <s v="Cash"/>
    <x v="1"/>
    <s v="Basic"/>
    <d v="2023-04-30T00:00:00"/>
    <x v="18"/>
  </r>
  <r>
    <s v="TRX0245"/>
    <d v="2024-05-26T00:00:00"/>
    <s v="CUST031"/>
    <s v="Steven Turner"/>
    <s v="P006"/>
    <x v="9"/>
    <s v="Furniture"/>
    <n v="3"/>
    <n v="199.99"/>
    <s v="Credit Card"/>
    <x v="2"/>
    <s v="Premium"/>
    <d v="2024-01-01T00:00:00"/>
    <x v="24"/>
  </r>
  <r>
    <s v="TRX0015"/>
    <d v="2024-05-28T00:00:00"/>
    <s v="CUST008"/>
    <s v="Jennifer Taylor"/>
    <s v="P002"/>
    <x v="5"/>
    <s v="Electronics"/>
    <n v="5"/>
    <n v="699.99"/>
    <s v="PayPal"/>
    <x v="3"/>
    <s v="Standard"/>
    <d v="2021-07-30T00:00:00"/>
    <x v="12"/>
  </r>
  <r>
    <s v="TRX0202"/>
    <d v="2024-05-29T00:00:00"/>
    <s v="CUST035"/>
    <s v="Harry Morgan"/>
    <s v="P010"/>
    <x v="8"/>
    <s v="Electronics"/>
    <n v="3"/>
    <n v="89.99"/>
    <s v="PayPal"/>
    <x v="0"/>
    <s v="Premium"/>
    <d v="2023-07-13T00:00:00"/>
    <x v="25"/>
  </r>
  <r>
    <s v="TRX0042"/>
    <d v="2024-05-31T00:00:00"/>
    <s v="CUST019"/>
    <s v="Daniel King"/>
    <s v="P004"/>
    <x v="7"/>
    <s v="Appliances"/>
    <n v="1"/>
    <n v="79.989999999999995"/>
    <s v="Cash"/>
    <x v="2"/>
    <s v="Standard"/>
    <d v="2022-12-22T00:00:00"/>
    <x v="26"/>
  </r>
  <r>
    <s v="TRX0128"/>
    <d v="2024-06-01T00:00:00"/>
    <s v="CUST040"/>
    <s v="Sharon Butler"/>
    <s v="P005"/>
    <x v="1"/>
    <s v="Appliances"/>
    <n v="2"/>
    <n v="59.99"/>
    <s v="Cash"/>
    <x v="3"/>
    <s v="Basic"/>
    <d v="2024-04-08T00:00:00"/>
    <x v="3"/>
  </r>
  <r>
    <s v="TRX0117"/>
    <d v="2024-06-01T00:00:00"/>
    <s v="CUST017"/>
    <s v="Charles Allen"/>
    <s v="P010"/>
    <x v="8"/>
    <s v="Electronics"/>
    <n v="1"/>
    <n v="89.99"/>
    <s v="Cash"/>
    <x v="2"/>
    <s v="Basic"/>
    <d v="2023-08-03T00:00:00"/>
    <x v="27"/>
  </r>
  <r>
    <s v="TRX0208"/>
    <d v="2024-06-03T00:00:00"/>
    <s v="CUST004"/>
    <s v="Sarah Davis"/>
    <s v="P010"/>
    <x v="8"/>
    <s v="Electronics"/>
    <n v="5"/>
    <n v="89.99"/>
    <s v="Credit Card"/>
    <x v="4"/>
    <s v="Standard"/>
    <d v="2022-01-26T00:00:00"/>
    <x v="19"/>
  </r>
  <r>
    <s v="TRX0234"/>
    <d v="2024-06-06T00:00:00"/>
    <s v="CUST013"/>
    <s v="Joseph Jackson"/>
    <s v="P009"/>
    <x v="0"/>
    <s v="Electronics"/>
    <n v="5"/>
    <n v="249.99"/>
    <s v="Credit Card"/>
    <x v="4"/>
    <s v="Standard"/>
    <d v="2022-05-26T00:00:00"/>
    <x v="16"/>
  </r>
  <r>
    <s v="TRX0121"/>
    <d v="2024-06-06T00:00:00"/>
    <s v="CUST028"/>
    <s v="Betty Campbell"/>
    <s v="P010"/>
    <x v="8"/>
    <s v="Electronics"/>
    <n v="1"/>
    <n v="89.99"/>
    <s v="Credit Card"/>
    <x v="1"/>
    <s v="Standard"/>
    <d v="2022-01-21T00:00:00"/>
    <x v="27"/>
  </r>
  <r>
    <s v="TRX0220"/>
    <d v="2024-06-07T00:00:00"/>
    <s v="CUST003"/>
    <s v="Michael Brown"/>
    <s v="P008"/>
    <x v="2"/>
    <s v="Furniture"/>
    <n v="2"/>
    <n v="149.99"/>
    <s v="Cash"/>
    <x v="4"/>
    <s v="Premium"/>
    <d v="2022-03-25T00:00:00"/>
    <x v="22"/>
  </r>
  <r>
    <s v="TRX0093"/>
    <d v="2024-06-09T00:00:00"/>
    <s v="CUST050"/>
    <s v="Julie Foster"/>
    <s v="P005"/>
    <x v="1"/>
    <s v="Appliances"/>
    <n v="4"/>
    <n v="59.99"/>
    <s v="Cash"/>
    <x v="4"/>
    <s v="Standard"/>
    <d v="2021-08-27T00:00:00"/>
    <x v="20"/>
  </r>
  <r>
    <s v="TRX0088"/>
    <d v="2024-06-13T00:00:00"/>
    <s v="CUST006"/>
    <s v="Lisa Anderson"/>
    <s v="P010"/>
    <x v="8"/>
    <s v="Electronics"/>
    <n v="5"/>
    <n v="89.99"/>
    <s v="Cash"/>
    <x v="0"/>
    <s v="Premium"/>
    <d v="2022-01-18T00:00:00"/>
    <x v="19"/>
  </r>
  <r>
    <s v="TRX0115"/>
    <d v="2024-06-16T00:00:00"/>
    <s v="CUST012"/>
    <s v="Patricia Moore"/>
    <s v="P010"/>
    <x v="8"/>
    <s v="Electronics"/>
    <n v="2"/>
    <n v="89.99"/>
    <s v="Credit Card"/>
    <x v="1"/>
    <s v="Premium"/>
    <d v="2021-10-02T00:00:00"/>
    <x v="28"/>
  </r>
  <r>
    <s v="TRX0154"/>
    <d v="2024-06-16T00:00:00"/>
    <s v="CUST023"/>
    <s v="Paul Baker"/>
    <s v="P001"/>
    <x v="4"/>
    <s v="Electronics"/>
    <n v="5"/>
    <n v="899.99"/>
    <s v="Credit Card"/>
    <x v="1"/>
    <s v="Standard"/>
    <d v="2023-02-17T00:00:00"/>
    <x v="29"/>
  </r>
  <r>
    <s v="TRX0044"/>
    <d v="2024-06-16T00:00:00"/>
    <s v="CUST029"/>
    <s v="Edward Mitchell"/>
    <s v="P001"/>
    <x v="4"/>
    <s v="Electronics"/>
    <n v="5"/>
    <n v="899.99"/>
    <s v="PayPal"/>
    <x v="4"/>
    <s v="Premium"/>
    <d v="2023-12-18T00:00:00"/>
    <x v="29"/>
  </r>
  <r>
    <s v="TRX0061"/>
    <d v="2024-06-17T00:00:00"/>
    <s v="CUST028"/>
    <s v="Betty Campbell"/>
    <s v="P005"/>
    <x v="1"/>
    <s v="Appliances"/>
    <n v="1"/>
    <n v="59.99"/>
    <s v="Debit Card"/>
    <x v="3"/>
    <s v="Premium"/>
    <d v="2023-09-21T00:00:00"/>
    <x v="30"/>
  </r>
  <r>
    <s v="TRX0150"/>
    <d v="2024-06-17T00:00:00"/>
    <s v="CUST008"/>
    <s v="Jennifer Taylor"/>
    <s v="P007"/>
    <x v="6"/>
    <s v="Furniture"/>
    <n v="2"/>
    <n v="299.99"/>
    <s v="Debit Card"/>
    <x v="4"/>
    <s v="Standard"/>
    <d v="2023-11-23T00:00:00"/>
    <x v="31"/>
  </r>
  <r>
    <s v="TRX0025"/>
    <d v="2024-06-25T00:00:00"/>
    <s v="CUST049"/>
    <s v="Raymond Ross"/>
    <s v="P010"/>
    <x v="8"/>
    <s v="Electronics"/>
    <n v="4"/>
    <n v="89.99"/>
    <s v="Debit Card"/>
    <x v="1"/>
    <s v="Basic"/>
    <d v="2023-12-21T00:00:00"/>
    <x v="32"/>
  </r>
  <r>
    <s v="TRX0078"/>
    <d v="2024-06-26T00:00:00"/>
    <s v="CUST021"/>
    <s v="Kevin Scott"/>
    <s v="P004"/>
    <x v="7"/>
    <s v="Appliances"/>
    <n v="1"/>
    <n v="79.989999999999995"/>
    <s v="PayPal"/>
    <x v="0"/>
    <s v="Premium"/>
    <d v="2024-03-01T00:00:00"/>
    <x v="26"/>
  </r>
  <r>
    <s v="TRX0007"/>
    <d v="2024-06-26T00:00:00"/>
    <s v="CUST009"/>
    <s v="Robert Thomas"/>
    <s v="P010"/>
    <x v="8"/>
    <s v="Electronics"/>
    <n v="2"/>
    <n v="89.99"/>
    <s v="Cash"/>
    <x v="3"/>
    <s v="Basic"/>
    <d v="2021-08-30T00:00:00"/>
    <x v="28"/>
  </r>
  <r>
    <s v="TRX0184"/>
    <d v="2024-06-28T00:00:00"/>
    <s v="CUST046"/>
    <s v="Kathleen Bennett"/>
    <s v="P002"/>
    <x v="5"/>
    <s v="Electronics"/>
    <n v="3"/>
    <n v="699.99"/>
    <s v="Credit Card"/>
    <x v="4"/>
    <s v="Premium"/>
    <d v="2023-06-25T00:00:00"/>
    <x v="7"/>
  </r>
  <r>
    <s v="TRX0104"/>
    <d v="2024-06-28T00:00:00"/>
    <s v="CUST012"/>
    <s v="Patricia Moore"/>
    <s v="P001"/>
    <x v="4"/>
    <s v="Electronics"/>
    <n v="4"/>
    <n v="899.99"/>
    <s v="Credit Card"/>
    <x v="4"/>
    <s v="Premium"/>
    <d v="2023-03-08T00:00:00"/>
    <x v="11"/>
  </r>
  <r>
    <s v="TRX0127"/>
    <d v="2024-06-29T00:00:00"/>
    <s v="CUST030"/>
    <s v="Helen Roberts"/>
    <s v="P008"/>
    <x v="2"/>
    <s v="Furniture"/>
    <n v="1"/>
    <n v="149.99"/>
    <s v="PayPal"/>
    <x v="4"/>
    <s v="Basic"/>
    <d v="2022-10-17T00:00:00"/>
    <x v="5"/>
  </r>
  <r>
    <s v="TRX0096"/>
    <d v="2024-07-01T00:00:00"/>
    <s v="CUST002"/>
    <s v="Emma Wilson"/>
    <s v="P010"/>
    <x v="8"/>
    <s v="Electronics"/>
    <n v="2"/>
    <n v="89.99"/>
    <s v="PayPal"/>
    <x v="0"/>
    <s v="Premium"/>
    <d v="2023-12-15T00:00:00"/>
    <x v="28"/>
  </r>
  <r>
    <s v="TRX0192"/>
    <d v="2024-07-02T00:00:00"/>
    <s v="CUST017"/>
    <s v="Charles Allen"/>
    <s v="P010"/>
    <x v="8"/>
    <s v="Electronics"/>
    <n v="1"/>
    <n v="89.99"/>
    <s v="PayPal"/>
    <x v="3"/>
    <s v="Standard"/>
    <d v="2022-08-29T00:00:00"/>
    <x v="27"/>
  </r>
  <r>
    <s v="TRX0052"/>
    <d v="2024-07-03T00:00:00"/>
    <s v="CUST022"/>
    <s v="Susan Green"/>
    <s v="P010"/>
    <x v="8"/>
    <s v="Electronics"/>
    <n v="1"/>
    <n v="89.99"/>
    <s v="Cash"/>
    <x v="1"/>
    <s v="Standard"/>
    <d v="2022-02-19T00:00:00"/>
    <x v="27"/>
  </r>
  <r>
    <s v="TRX0070"/>
    <d v="2024-07-03T00:00:00"/>
    <s v="CUST007"/>
    <s v="David Martinez"/>
    <s v="P004"/>
    <x v="7"/>
    <s v="Appliances"/>
    <n v="5"/>
    <n v="79.989999999999995"/>
    <s v="Debit Card"/>
    <x v="0"/>
    <s v="Basic"/>
    <d v="2023-02-24T00:00:00"/>
    <x v="33"/>
  </r>
  <r>
    <s v="TRX0086"/>
    <d v="2024-07-08T00:00:00"/>
    <s v="CUST020"/>
    <s v="Margaret Wright"/>
    <s v="P008"/>
    <x v="2"/>
    <s v="Furniture"/>
    <n v="1"/>
    <n v="149.99"/>
    <s v="PayPal"/>
    <x v="2"/>
    <s v="Basic"/>
    <d v="2021-08-13T00:00:00"/>
    <x v="5"/>
  </r>
  <r>
    <s v="TRX0113"/>
    <d v="2024-07-08T00:00:00"/>
    <s v="CUST003"/>
    <s v="Michael Brown"/>
    <s v="P002"/>
    <x v="5"/>
    <s v="Electronics"/>
    <n v="2"/>
    <n v="699.99"/>
    <s v="PayPal"/>
    <x v="4"/>
    <s v="Premium"/>
    <d v="2024-04-07T00:00:00"/>
    <x v="10"/>
  </r>
  <r>
    <s v="TRX0114"/>
    <d v="2024-07-08T00:00:00"/>
    <s v="CUST018"/>
    <s v="Barbara Young"/>
    <s v="P010"/>
    <x v="8"/>
    <s v="Electronics"/>
    <n v="5"/>
    <n v="89.99"/>
    <s v="Debit Card"/>
    <x v="2"/>
    <s v="Premium"/>
    <d v="2023-08-23T00:00:00"/>
    <x v="19"/>
  </r>
  <r>
    <s v="TRX0136"/>
    <d v="2024-07-09T00:00:00"/>
    <s v="CUST049"/>
    <s v="Raymond Ross"/>
    <s v="P005"/>
    <x v="1"/>
    <s v="Appliances"/>
    <n v="4"/>
    <n v="59.99"/>
    <s v="Cash"/>
    <x v="1"/>
    <s v="Standard"/>
    <d v="2021-11-09T00:00:00"/>
    <x v="20"/>
  </r>
  <r>
    <s v="TRX0018"/>
    <d v="2024-07-11T00:00:00"/>
    <s v="CUST013"/>
    <s v="Joseph Jackson"/>
    <s v="P003"/>
    <x v="3"/>
    <s v="Electronics"/>
    <n v="1"/>
    <n v="149.99"/>
    <s v="Cash"/>
    <x v="0"/>
    <s v="Standard"/>
    <d v="2022-12-14T00:00:00"/>
    <x v="5"/>
  </r>
  <r>
    <s v="TRX0141"/>
    <d v="2024-07-11T00:00:00"/>
    <s v="CUST033"/>
    <s v="Frank Torres"/>
    <s v="P007"/>
    <x v="6"/>
    <s v="Furniture"/>
    <n v="1"/>
    <n v="299.99"/>
    <s v="Credit Card"/>
    <x v="2"/>
    <s v="Premium"/>
    <d v="2022-11-26T00:00:00"/>
    <x v="34"/>
  </r>
  <r>
    <s v="TRX0097"/>
    <d v="2024-07-14T00:00:00"/>
    <s v="CUST033"/>
    <s v="Frank Torres"/>
    <s v="P006"/>
    <x v="9"/>
    <s v="Furniture"/>
    <n v="2"/>
    <n v="199.99"/>
    <s v="Cash"/>
    <x v="2"/>
    <s v="Basic"/>
    <d v="2021-12-11T00:00:00"/>
    <x v="35"/>
  </r>
  <r>
    <s v="TRX0169"/>
    <d v="2024-07-17T00:00:00"/>
    <s v="CUST047"/>
    <s v="Gerald Murphy"/>
    <s v="P005"/>
    <x v="1"/>
    <s v="Appliances"/>
    <n v="3"/>
    <n v="59.99"/>
    <s v="Credit Card"/>
    <x v="3"/>
    <s v="Basic"/>
    <d v="2023-07-23T00:00:00"/>
    <x v="1"/>
  </r>
  <r>
    <s v="TRX0216"/>
    <d v="2024-07-17T00:00:00"/>
    <s v="CUST041"/>
    <s v="Peter Richardson"/>
    <s v="P008"/>
    <x v="2"/>
    <s v="Furniture"/>
    <n v="3"/>
    <n v="149.99"/>
    <s v="Cash"/>
    <x v="0"/>
    <s v="Premium"/>
    <d v="2023-09-30T00:00:00"/>
    <x v="6"/>
  </r>
  <r>
    <s v="TRX0131"/>
    <d v="2024-07-18T00:00:00"/>
    <s v="CUST026"/>
    <s v="Karen Hill"/>
    <s v="P006"/>
    <x v="9"/>
    <s v="Furniture"/>
    <n v="3"/>
    <n v="199.99"/>
    <s v="Cash"/>
    <x v="2"/>
    <s v="Premium"/>
    <d v="2023-11-24T00:00:00"/>
    <x v="24"/>
  </r>
  <r>
    <s v="TRX0162"/>
    <d v="2024-07-23T00:00:00"/>
    <s v="CUST040"/>
    <s v="Sharon Butler"/>
    <s v="P001"/>
    <x v="4"/>
    <s v="Electronics"/>
    <n v="1"/>
    <n v="899.99"/>
    <s v="Cash"/>
    <x v="0"/>
    <s v="Standard"/>
    <d v="2023-09-10T00:00:00"/>
    <x v="8"/>
  </r>
  <r>
    <s v="TRX0244"/>
    <d v="2024-07-24T00:00:00"/>
    <s v="CUST013"/>
    <s v="Joseph Jackson"/>
    <s v="P001"/>
    <x v="4"/>
    <s v="Electronics"/>
    <n v="5"/>
    <n v="899.99"/>
    <s v="Debit Card"/>
    <x v="1"/>
    <s v="Standard"/>
    <d v="2022-12-04T00:00:00"/>
    <x v="29"/>
  </r>
  <r>
    <s v="TRX0006"/>
    <d v="2024-07-25T00:00:00"/>
    <s v="CUST007"/>
    <s v="David Martinez"/>
    <s v="P005"/>
    <x v="1"/>
    <s v="Appliances"/>
    <n v="2"/>
    <n v="59.99"/>
    <s v="Cash"/>
    <x v="2"/>
    <s v="Standard"/>
    <d v="2023-08-14T00:00:00"/>
    <x v="3"/>
  </r>
  <r>
    <s v="TRX0215"/>
    <d v="2024-07-25T00:00:00"/>
    <s v="CUST047"/>
    <s v="Gerald Murphy"/>
    <s v="P009"/>
    <x v="0"/>
    <s v="Electronics"/>
    <n v="4"/>
    <n v="249.99"/>
    <s v="Debit Card"/>
    <x v="0"/>
    <s v="Standard"/>
    <d v="2023-07-20T00:00:00"/>
    <x v="14"/>
  </r>
  <r>
    <s v="TRX0080"/>
    <d v="2024-07-27T00:00:00"/>
    <s v="CUST018"/>
    <s v="Barbara Young"/>
    <s v="P009"/>
    <x v="0"/>
    <s v="Electronics"/>
    <n v="2"/>
    <n v="249.99"/>
    <s v="Cash"/>
    <x v="2"/>
    <s v="Premium"/>
    <d v="2023-08-26T00:00:00"/>
    <x v="36"/>
  </r>
  <r>
    <s v="TRX0228"/>
    <d v="2024-07-27T00:00:00"/>
    <s v="CUST019"/>
    <s v="Daniel King"/>
    <s v="P007"/>
    <x v="6"/>
    <s v="Furniture"/>
    <n v="1"/>
    <n v="299.99"/>
    <s v="Cash"/>
    <x v="1"/>
    <s v="Basic"/>
    <d v="2023-02-25T00:00:00"/>
    <x v="34"/>
  </r>
  <r>
    <s v="TRX0157"/>
    <d v="2024-07-28T00:00:00"/>
    <s v="CUST025"/>
    <s v="Mark Carter"/>
    <s v="P010"/>
    <x v="8"/>
    <s v="Electronics"/>
    <n v="2"/>
    <n v="89.99"/>
    <s v="PayPal"/>
    <x v="1"/>
    <s v="Basic"/>
    <d v="2023-02-19T00:00:00"/>
    <x v="28"/>
  </r>
  <r>
    <s v="TRX0002"/>
    <d v="2024-07-28T00:00:00"/>
    <s v="CUST019"/>
    <s v="Daniel King"/>
    <s v="P007"/>
    <x v="6"/>
    <s v="Furniture"/>
    <n v="3"/>
    <n v="299.99"/>
    <s v="Cash"/>
    <x v="0"/>
    <s v="Basic"/>
    <d v="2022-06-20T00:00:00"/>
    <x v="23"/>
  </r>
  <r>
    <s v="TRX0217"/>
    <d v="2024-07-30T00:00:00"/>
    <s v="CUST025"/>
    <s v="Mark Carter"/>
    <s v="P002"/>
    <x v="5"/>
    <s v="Electronics"/>
    <n v="2"/>
    <n v="699.99"/>
    <s v="Credit Card"/>
    <x v="2"/>
    <s v="Premium"/>
    <d v="2023-03-14T00:00:00"/>
    <x v="10"/>
  </r>
  <r>
    <s v="TRX0249"/>
    <d v="2024-07-31T00:00:00"/>
    <s v="CUST030"/>
    <s v="Helen Roberts"/>
    <s v="P001"/>
    <x v="4"/>
    <s v="Electronics"/>
    <n v="4"/>
    <n v="899.99"/>
    <s v="Debit Card"/>
    <x v="1"/>
    <s v="Standard"/>
    <d v="2021-11-23T00:00:00"/>
    <x v="11"/>
  </r>
  <r>
    <s v="TRX0065"/>
    <d v="2024-08-05T00:00:00"/>
    <s v="CUST016"/>
    <s v="Elizabeth Hall"/>
    <s v="P008"/>
    <x v="2"/>
    <s v="Furniture"/>
    <n v="2"/>
    <n v="149.99"/>
    <s v="Credit Card"/>
    <x v="3"/>
    <s v="Basic"/>
    <d v="2021-12-12T00:00:00"/>
    <x v="22"/>
  </r>
  <r>
    <s v="TRX0176"/>
    <d v="2024-08-06T00:00:00"/>
    <s v="CUST044"/>
    <s v="Cynthia Price"/>
    <s v="P008"/>
    <x v="2"/>
    <s v="Furniture"/>
    <n v="2"/>
    <n v="149.99"/>
    <s v="Debit Card"/>
    <x v="4"/>
    <s v="Standard"/>
    <d v="2022-04-16T00:00:00"/>
    <x v="22"/>
  </r>
  <r>
    <s v="TRX0101"/>
    <d v="2024-08-09T00:00:00"/>
    <s v="CUST010"/>
    <s v="Maria Garcia"/>
    <s v="P010"/>
    <x v="8"/>
    <s v="Electronics"/>
    <n v="1"/>
    <n v="89.99"/>
    <s v="Credit Card"/>
    <x v="2"/>
    <s v="Standard"/>
    <d v="2024-04-11T00:00:00"/>
    <x v="27"/>
  </r>
  <r>
    <s v="TRX0205"/>
    <d v="2024-08-11T00:00:00"/>
    <s v="CUST025"/>
    <s v="Mark Carter"/>
    <s v="P007"/>
    <x v="6"/>
    <s v="Furniture"/>
    <n v="5"/>
    <n v="299.99"/>
    <s v="Credit Card"/>
    <x v="2"/>
    <s v="Basic"/>
    <d v="2023-02-08T00:00:00"/>
    <x v="17"/>
  </r>
  <r>
    <s v="TRX0020"/>
    <d v="2024-08-13T00:00:00"/>
    <s v="CUST007"/>
    <s v="David Martinez"/>
    <s v="P003"/>
    <x v="3"/>
    <s v="Electronics"/>
    <n v="4"/>
    <n v="149.99"/>
    <s v="Debit Card"/>
    <x v="1"/>
    <s v="Premium"/>
    <d v="2022-09-16T00:00:00"/>
    <x v="9"/>
  </r>
  <r>
    <s v="TRX0075"/>
    <d v="2024-08-13T00:00:00"/>
    <s v="CUST020"/>
    <s v="Margaret Wright"/>
    <s v="P009"/>
    <x v="0"/>
    <s v="Electronics"/>
    <n v="5"/>
    <n v="249.99"/>
    <s v="PayPal"/>
    <x v="4"/>
    <s v="Premium"/>
    <d v="2022-08-09T00:00:00"/>
    <x v="16"/>
  </r>
  <r>
    <s v="TRX0098"/>
    <d v="2024-08-13T00:00:00"/>
    <s v="CUST026"/>
    <s v="Karen Hill"/>
    <s v="P009"/>
    <x v="0"/>
    <s v="Electronics"/>
    <n v="3"/>
    <n v="249.99"/>
    <s v="PayPal"/>
    <x v="2"/>
    <s v="Premium"/>
    <d v="2021-09-26T00:00:00"/>
    <x v="0"/>
  </r>
  <r>
    <s v="TRX0247"/>
    <d v="2024-08-13T00:00:00"/>
    <s v="CUST046"/>
    <s v="Kathleen Bennett"/>
    <s v="P006"/>
    <x v="9"/>
    <s v="Furniture"/>
    <n v="4"/>
    <n v="199.99"/>
    <s v="Cash"/>
    <x v="2"/>
    <s v="Standard"/>
    <d v="2021-09-19T00:00:00"/>
    <x v="37"/>
  </r>
  <r>
    <s v="TRX0027"/>
    <d v="2024-08-15T00:00:00"/>
    <s v="CUST028"/>
    <s v="Betty Campbell"/>
    <s v="P006"/>
    <x v="9"/>
    <s v="Furniture"/>
    <n v="5"/>
    <n v="199.99"/>
    <s v="Cash"/>
    <x v="2"/>
    <s v="Premium"/>
    <d v="2023-03-06T00:00:00"/>
    <x v="21"/>
  </r>
  <r>
    <s v="TRX0140"/>
    <d v="2024-08-18T00:00:00"/>
    <s v="CUST025"/>
    <s v="Mark Carter"/>
    <s v="P010"/>
    <x v="8"/>
    <s v="Electronics"/>
    <n v="2"/>
    <n v="89.99"/>
    <s v="Cash"/>
    <x v="4"/>
    <s v="Premium"/>
    <d v="2023-02-15T00:00:00"/>
    <x v="28"/>
  </r>
  <r>
    <s v="TRX0132"/>
    <d v="2024-08-19T00:00:00"/>
    <s v="CUST047"/>
    <s v="Gerald Murphy"/>
    <s v="P001"/>
    <x v="4"/>
    <s v="Electronics"/>
    <n v="5"/>
    <n v="899.99"/>
    <s v="Debit Card"/>
    <x v="4"/>
    <s v="Basic"/>
    <d v="2021-11-26T00:00:00"/>
    <x v="29"/>
  </r>
  <r>
    <s v="TRX0031"/>
    <d v="2024-08-19T00:00:00"/>
    <s v="CUST036"/>
    <s v="Nancy Collins"/>
    <s v="P003"/>
    <x v="3"/>
    <s v="Electronics"/>
    <n v="3"/>
    <n v="149.99"/>
    <s v="PayPal"/>
    <x v="4"/>
    <s v="Basic"/>
    <d v="2022-01-13T00:00:00"/>
    <x v="6"/>
  </r>
  <r>
    <s v="TRX0236"/>
    <d v="2024-08-22T00:00:00"/>
    <s v="CUST044"/>
    <s v="Cynthia Price"/>
    <s v="P008"/>
    <x v="2"/>
    <s v="Furniture"/>
    <n v="5"/>
    <n v="149.99"/>
    <s v="Credit Card"/>
    <x v="0"/>
    <s v="Basic"/>
    <d v="2024-01-19T00:00:00"/>
    <x v="2"/>
  </r>
  <r>
    <s v="TRX0001"/>
    <d v="2024-08-24T00:00:00"/>
    <s v="CUST039"/>
    <s v="Lawrence Reed"/>
    <s v="P004"/>
    <x v="7"/>
    <s v="Appliances"/>
    <n v="3"/>
    <n v="79.989999999999995"/>
    <s v="Cash"/>
    <x v="0"/>
    <s v="Premium"/>
    <d v="2022-08-06T00:00:00"/>
    <x v="18"/>
  </r>
  <r>
    <s v="TRX0037"/>
    <d v="2024-08-24T00:00:00"/>
    <s v="CUST035"/>
    <s v="Harry Morgan"/>
    <s v="P009"/>
    <x v="0"/>
    <s v="Electronics"/>
    <n v="2"/>
    <n v="249.99"/>
    <s v="Cash"/>
    <x v="1"/>
    <s v="Standard"/>
    <d v="2022-01-11T00:00:00"/>
    <x v="36"/>
  </r>
  <r>
    <s v="TRX0058"/>
    <d v="2024-08-28T00:00:00"/>
    <s v="CUST047"/>
    <s v="Gerald Murphy"/>
    <s v="P002"/>
    <x v="5"/>
    <s v="Electronics"/>
    <n v="1"/>
    <n v="699.99"/>
    <s v="Cash"/>
    <x v="0"/>
    <s v="Premium"/>
    <d v="2021-10-28T00:00:00"/>
    <x v="38"/>
  </r>
  <r>
    <s v="TRX0170"/>
    <d v="2024-08-28T00:00:00"/>
    <s v="CUST034"/>
    <s v="Carol Evans"/>
    <s v="P003"/>
    <x v="3"/>
    <s v="Electronics"/>
    <n v="3"/>
    <n v="149.99"/>
    <s v="Cash"/>
    <x v="3"/>
    <s v="Premium"/>
    <d v="2023-10-13T00:00:00"/>
    <x v="6"/>
  </r>
  <r>
    <s v="TRX0248"/>
    <d v="2024-08-30T00:00:00"/>
    <s v="CUST032"/>
    <s v="Sandra Phillips"/>
    <s v="P002"/>
    <x v="5"/>
    <s v="Electronics"/>
    <n v="2"/>
    <n v="699.99"/>
    <s v="Credit Card"/>
    <x v="2"/>
    <s v="Premium"/>
    <d v="2021-08-13T00:00:00"/>
    <x v="10"/>
  </r>
  <r>
    <s v="TRX0099"/>
    <d v="2024-09-02T00:00:00"/>
    <s v="CUST034"/>
    <s v="Carol Evans"/>
    <s v="P009"/>
    <x v="0"/>
    <s v="Electronics"/>
    <n v="1"/>
    <n v="249.99"/>
    <s v="Credit Card"/>
    <x v="3"/>
    <s v="Premium"/>
    <d v="2022-05-04T00:00:00"/>
    <x v="39"/>
  </r>
  <r>
    <s v="TRX0074"/>
    <d v="2024-09-02T00:00:00"/>
    <s v="CUST023"/>
    <s v="Paul Baker"/>
    <s v="P009"/>
    <x v="0"/>
    <s v="Electronics"/>
    <n v="1"/>
    <n v="249.99"/>
    <s v="Debit Card"/>
    <x v="2"/>
    <s v="Premium"/>
    <d v="2024-02-10T00:00:00"/>
    <x v="39"/>
  </r>
  <r>
    <s v="TRX0225"/>
    <d v="2024-09-03T00:00:00"/>
    <s v="CUST039"/>
    <s v="Lawrence Reed"/>
    <s v="P002"/>
    <x v="5"/>
    <s v="Electronics"/>
    <n v="2"/>
    <n v="699.99"/>
    <s v="Debit Card"/>
    <x v="0"/>
    <s v="Premium"/>
    <d v="2022-11-05T00:00:00"/>
    <x v="10"/>
  </r>
  <r>
    <s v="TRX0100"/>
    <d v="2024-09-06T00:00:00"/>
    <s v="CUST031"/>
    <s v="Steven Turner"/>
    <s v="P005"/>
    <x v="1"/>
    <s v="Appliances"/>
    <n v="3"/>
    <n v="59.99"/>
    <s v="Credit Card"/>
    <x v="0"/>
    <s v="Premium"/>
    <d v="2022-06-05T00:00:00"/>
    <x v="1"/>
  </r>
  <r>
    <s v="TRX0142"/>
    <d v="2024-09-09T00:00:00"/>
    <s v="CUST002"/>
    <s v="Emma Wilson"/>
    <s v="P005"/>
    <x v="1"/>
    <s v="Appliances"/>
    <n v="3"/>
    <n v="59.99"/>
    <s v="PayPal"/>
    <x v="4"/>
    <s v="Standard"/>
    <d v="2022-07-06T00:00:00"/>
    <x v="1"/>
  </r>
  <r>
    <s v="TRX0112"/>
    <d v="2024-09-09T00:00:00"/>
    <s v="CUST008"/>
    <s v="Jennifer Taylor"/>
    <s v="P004"/>
    <x v="7"/>
    <s v="Appliances"/>
    <n v="4"/>
    <n v="79.989999999999995"/>
    <s v="Cash"/>
    <x v="2"/>
    <s v="Basic"/>
    <d v="2021-11-30T00:00:00"/>
    <x v="40"/>
  </r>
  <r>
    <s v="TRX0161"/>
    <d v="2024-09-10T00:00:00"/>
    <s v="CUST017"/>
    <s v="Charles Allen"/>
    <s v="P004"/>
    <x v="7"/>
    <s v="Appliances"/>
    <n v="1"/>
    <n v="79.989999999999995"/>
    <s v="Cash"/>
    <x v="3"/>
    <s v="Basic"/>
    <d v="2022-05-12T00:00:00"/>
    <x v="26"/>
  </r>
  <r>
    <s v="TRX0108"/>
    <d v="2024-09-12T00:00:00"/>
    <s v="CUST024"/>
    <s v="Dorothy Nelson"/>
    <s v="P007"/>
    <x v="6"/>
    <s v="Furniture"/>
    <n v="3"/>
    <n v="299.99"/>
    <s v="Credit Card"/>
    <x v="0"/>
    <s v="Premium"/>
    <d v="2021-10-25T00:00:00"/>
    <x v="23"/>
  </r>
  <r>
    <s v="TRX0211"/>
    <d v="2024-09-13T00:00:00"/>
    <s v="CUST046"/>
    <s v="Kathleen Bennett"/>
    <s v="P010"/>
    <x v="8"/>
    <s v="Electronics"/>
    <n v="2"/>
    <n v="89.99"/>
    <s v="Credit Card"/>
    <x v="1"/>
    <s v="Premium"/>
    <d v="2022-03-21T00:00:00"/>
    <x v="28"/>
  </r>
  <r>
    <s v="TRX0005"/>
    <d v="2024-09-15T00:00:00"/>
    <s v="CUST042"/>
    <s v="Ruth Brooks"/>
    <s v="P003"/>
    <x v="3"/>
    <s v="Electronics"/>
    <n v="4"/>
    <n v="149.99"/>
    <s v="Cash"/>
    <x v="2"/>
    <s v="Basic"/>
    <d v="2022-12-14T00:00:00"/>
    <x v="9"/>
  </r>
  <r>
    <s v="TRX0195"/>
    <d v="2024-09-16T00:00:00"/>
    <s v="CUST026"/>
    <s v="Karen Hill"/>
    <s v="P009"/>
    <x v="0"/>
    <s v="Electronics"/>
    <n v="2"/>
    <n v="249.99"/>
    <s v="PayPal"/>
    <x v="1"/>
    <s v="Basic"/>
    <d v="2023-03-08T00:00:00"/>
    <x v="36"/>
  </r>
  <r>
    <s v="TRX0054"/>
    <d v="2024-09-16T00:00:00"/>
    <s v="CUST004"/>
    <s v="Sarah Davis"/>
    <s v="P006"/>
    <x v="9"/>
    <s v="Furniture"/>
    <n v="4"/>
    <n v="199.99"/>
    <s v="Debit Card"/>
    <x v="4"/>
    <s v="Basic"/>
    <d v="2021-09-19T00:00:00"/>
    <x v="37"/>
  </r>
  <r>
    <s v="TRX0077"/>
    <d v="2024-09-19T00:00:00"/>
    <s v="CUST019"/>
    <s v="Daniel King"/>
    <s v="P010"/>
    <x v="8"/>
    <s v="Electronics"/>
    <n v="5"/>
    <n v="89.99"/>
    <s v="Credit Card"/>
    <x v="4"/>
    <s v="Premium"/>
    <d v="2021-09-07T00:00:00"/>
    <x v="19"/>
  </r>
  <r>
    <s v="TRX0111"/>
    <d v="2024-09-19T00:00:00"/>
    <s v="CUST011"/>
    <s v="William White"/>
    <s v="P003"/>
    <x v="3"/>
    <s v="Electronics"/>
    <n v="1"/>
    <n v="149.99"/>
    <s v="PayPal"/>
    <x v="4"/>
    <s v="Standard"/>
    <d v="2021-10-13T00:00:00"/>
    <x v="5"/>
  </r>
  <r>
    <s v="TRX0123"/>
    <d v="2024-09-19T00:00:00"/>
    <s v="CUST041"/>
    <s v="Peter Richardson"/>
    <s v="P002"/>
    <x v="5"/>
    <s v="Electronics"/>
    <n v="4"/>
    <n v="699.99"/>
    <s v="PayPal"/>
    <x v="1"/>
    <s v="Basic"/>
    <d v="2022-02-26T00:00:00"/>
    <x v="13"/>
  </r>
  <r>
    <s v="TRX0177"/>
    <d v="2024-09-24T00:00:00"/>
    <s v="CUST032"/>
    <s v="Sandra Phillips"/>
    <s v="P001"/>
    <x v="4"/>
    <s v="Electronics"/>
    <n v="3"/>
    <n v="899.99"/>
    <s v="Credit Card"/>
    <x v="2"/>
    <s v="Standard"/>
    <d v="2023-08-19T00:00:00"/>
    <x v="4"/>
  </r>
  <r>
    <s v="TRX0119"/>
    <d v="2024-09-25T00:00:00"/>
    <s v="CUST014"/>
    <s v="Linda Martin"/>
    <s v="P008"/>
    <x v="2"/>
    <s v="Furniture"/>
    <n v="3"/>
    <n v="149.99"/>
    <s v="PayPal"/>
    <x v="4"/>
    <s v="Basic"/>
    <d v="2022-11-21T00:00:00"/>
    <x v="6"/>
  </r>
  <r>
    <s v="TRX0181"/>
    <d v="2024-09-28T00:00:00"/>
    <s v="CUST012"/>
    <s v="Patricia Moore"/>
    <s v="P007"/>
    <x v="6"/>
    <s v="Furniture"/>
    <n v="2"/>
    <n v="299.99"/>
    <s v="Debit Card"/>
    <x v="0"/>
    <s v="Basic"/>
    <d v="2022-01-08T00:00:00"/>
    <x v="31"/>
  </r>
  <r>
    <s v="TRX0129"/>
    <d v="2024-09-29T00:00:00"/>
    <s v="CUST015"/>
    <s v="Richard Lee"/>
    <s v="P006"/>
    <x v="9"/>
    <s v="Furniture"/>
    <n v="1"/>
    <n v="199.99"/>
    <s v="Debit Card"/>
    <x v="4"/>
    <s v="Standard"/>
    <d v="2023-01-27T00:00:00"/>
    <x v="41"/>
  </r>
  <r>
    <s v="TRX0174"/>
    <d v="2024-10-01T00:00:00"/>
    <s v="CUST003"/>
    <s v="Michael Brown"/>
    <s v="P007"/>
    <x v="6"/>
    <s v="Furniture"/>
    <n v="4"/>
    <n v="299.99"/>
    <s v="Cash"/>
    <x v="0"/>
    <s v="Premium"/>
    <d v="2021-09-21T00:00:00"/>
    <x v="15"/>
  </r>
  <r>
    <s v="TRX0146"/>
    <d v="2024-10-07T00:00:00"/>
    <s v="CUST010"/>
    <s v="Maria Garcia"/>
    <s v="P005"/>
    <x v="1"/>
    <s v="Appliances"/>
    <n v="2"/>
    <n v="59.99"/>
    <s v="Credit Card"/>
    <x v="0"/>
    <s v="Basic"/>
    <d v="2022-01-18T00:00:00"/>
    <x v="3"/>
  </r>
  <r>
    <s v="TRX0203"/>
    <d v="2024-10-07T00:00:00"/>
    <s v="CUST032"/>
    <s v="Sandra Phillips"/>
    <s v="P003"/>
    <x v="3"/>
    <s v="Electronics"/>
    <n v="4"/>
    <n v="149.99"/>
    <s v="Credit Card"/>
    <x v="2"/>
    <s v="Premium"/>
    <d v="2023-05-30T00:00:00"/>
    <x v="9"/>
  </r>
  <r>
    <s v="TRX0055"/>
    <d v="2024-10-08T00:00:00"/>
    <s v="CUST016"/>
    <s v="Elizabeth Hall"/>
    <s v="P002"/>
    <x v="5"/>
    <s v="Electronics"/>
    <n v="2"/>
    <n v="699.99"/>
    <s v="Debit Card"/>
    <x v="4"/>
    <s v="Premium"/>
    <d v="2023-12-14T00:00:00"/>
    <x v="10"/>
  </r>
  <r>
    <s v="TRX0218"/>
    <d v="2024-10-08T00:00:00"/>
    <s v="CUST034"/>
    <s v="Carol Evans"/>
    <s v="P008"/>
    <x v="2"/>
    <s v="Furniture"/>
    <n v="3"/>
    <n v="149.99"/>
    <s v="Credit Card"/>
    <x v="1"/>
    <s v="Standard"/>
    <d v="2023-01-14T00:00:00"/>
    <x v="6"/>
  </r>
  <r>
    <s v="TRX0085"/>
    <d v="2024-10-11T00:00:00"/>
    <s v="CUST019"/>
    <s v="Daniel King"/>
    <s v="P007"/>
    <x v="6"/>
    <s v="Furniture"/>
    <n v="3"/>
    <n v="299.99"/>
    <s v="Credit Card"/>
    <x v="0"/>
    <s v="Standard"/>
    <d v="2023-09-05T00:00:00"/>
    <x v="23"/>
  </r>
  <r>
    <s v="TRX0158"/>
    <d v="2024-10-14T00:00:00"/>
    <s v="CUST027"/>
    <s v="George Adams"/>
    <s v="P001"/>
    <x v="4"/>
    <s v="Electronics"/>
    <n v="3"/>
    <n v="899.99"/>
    <s v="PayPal"/>
    <x v="3"/>
    <s v="Basic"/>
    <d v="2023-10-16T00:00:00"/>
    <x v="4"/>
  </r>
  <r>
    <s v="TRX0173"/>
    <d v="2024-10-16T00:00:00"/>
    <s v="CUST018"/>
    <s v="Barbara Young"/>
    <s v="P002"/>
    <x v="5"/>
    <s v="Electronics"/>
    <n v="5"/>
    <n v="699.99"/>
    <s v="Cash"/>
    <x v="4"/>
    <s v="Standard"/>
    <d v="2023-03-23T00:00:00"/>
    <x v="12"/>
  </r>
  <r>
    <s v="TRX0034"/>
    <d v="2024-10-16T00:00:00"/>
    <s v="CUST049"/>
    <s v="Raymond Ross"/>
    <s v="P002"/>
    <x v="5"/>
    <s v="Electronics"/>
    <n v="4"/>
    <n v="699.99"/>
    <s v="Credit Card"/>
    <x v="0"/>
    <s v="Basic"/>
    <d v="2024-04-03T00:00:00"/>
    <x v="13"/>
  </r>
  <r>
    <s v="TRX0189"/>
    <d v="2024-10-16T00:00:00"/>
    <s v="CUST040"/>
    <s v="Sharon Butler"/>
    <s v="P001"/>
    <x v="4"/>
    <s v="Electronics"/>
    <n v="1"/>
    <n v="899.99"/>
    <s v="Credit Card"/>
    <x v="4"/>
    <s v="Standard"/>
    <d v="2024-03-18T00:00:00"/>
    <x v="8"/>
  </r>
  <r>
    <s v="TRX0190"/>
    <d v="2024-10-18T00:00:00"/>
    <s v="CUST039"/>
    <s v="Lawrence Reed"/>
    <s v="P003"/>
    <x v="3"/>
    <s v="Electronics"/>
    <n v="2"/>
    <n v="149.99"/>
    <s v="Credit Card"/>
    <x v="3"/>
    <s v="Basic"/>
    <d v="2022-12-21T00:00:00"/>
    <x v="22"/>
  </r>
  <r>
    <s v="TRX0079"/>
    <d v="2024-10-21T00:00:00"/>
    <s v="CUST039"/>
    <s v="Lawrence Reed"/>
    <s v="P010"/>
    <x v="8"/>
    <s v="Electronics"/>
    <n v="3"/>
    <n v="89.99"/>
    <s v="PayPal"/>
    <x v="0"/>
    <s v="Basic"/>
    <d v="2021-12-21T00:00:00"/>
    <x v="25"/>
  </r>
  <r>
    <s v="TRX0095"/>
    <d v="2024-10-23T00:00:00"/>
    <s v="CUST046"/>
    <s v="Kathleen Bennett"/>
    <s v="P003"/>
    <x v="3"/>
    <s v="Electronics"/>
    <n v="2"/>
    <n v="149.99"/>
    <s v="PayPal"/>
    <x v="0"/>
    <s v="Basic"/>
    <d v="2021-10-04T00:00:00"/>
    <x v="22"/>
  </r>
  <r>
    <s v="TRX0009"/>
    <d v="2024-10-23T00:00:00"/>
    <s v="CUST004"/>
    <s v="Sarah Davis"/>
    <s v="P002"/>
    <x v="5"/>
    <s v="Electronics"/>
    <n v="2"/>
    <n v="699.99"/>
    <s v="Cash"/>
    <x v="0"/>
    <s v="Basic"/>
    <d v="2023-03-07T00:00:00"/>
    <x v="10"/>
  </r>
  <r>
    <s v="TRX0167"/>
    <d v="2024-10-24T00:00:00"/>
    <s v="CUST028"/>
    <s v="Betty Campbell"/>
    <s v="P002"/>
    <x v="5"/>
    <s v="Electronics"/>
    <n v="5"/>
    <n v="699.99"/>
    <s v="Cash"/>
    <x v="2"/>
    <s v="Premium"/>
    <d v="2022-03-15T00:00:00"/>
    <x v="12"/>
  </r>
  <r>
    <s v="TRX0153"/>
    <d v="2024-10-27T00:00:00"/>
    <s v="CUST049"/>
    <s v="Raymond Ross"/>
    <s v="P010"/>
    <x v="8"/>
    <s v="Electronics"/>
    <n v="3"/>
    <n v="89.99"/>
    <s v="Credit Card"/>
    <x v="2"/>
    <s v="Standard"/>
    <d v="2022-02-23T00:00:00"/>
    <x v="25"/>
  </r>
  <r>
    <s v="TRX0057"/>
    <d v="2024-11-01T00:00:00"/>
    <s v="CUST023"/>
    <s v="Paul Baker"/>
    <s v="P009"/>
    <x v="0"/>
    <s v="Electronics"/>
    <n v="5"/>
    <n v="249.99"/>
    <s v="Credit Card"/>
    <x v="1"/>
    <s v="Standard"/>
    <d v="2022-11-16T00:00:00"/>
    <x v="16"/>
  </r>
  <r>
    <s v="TRX0017"/>
    <d v="2024-11-04T00:00:00"/>
    <s v="CUST026"/>
    <s v="Karen Hill"/>
    <s v="P007"/>
    <x v="6"/>
    <s v="Furniture"/>
    <n v="3"/>
    <n v="299.99"/>
    <s v="Credit Card"/>
    <x v="1"/>
    <s v="Standard"/>
    <d v="2021-11-02T00:00:00"/>
    <x v="23"/>
  </r>
  <r>
    <s v="TRX0060"/>
    <d v="2024-11-07T00:00:00"/>
    <s v="CUST012"/>
    <s v="Patricia Moore"/>
    <s v="P010"/>
    <x v="8"/>
    <s v="Electronics"/>
    <n v="3"/>
    <n v="89.99"/>
    <s v="Credit Card"/>
    <x v="2"/>
    <s v="Premium"/>
    <d v="2021-08-12T00:00:00"/>
    <x v="25"/>
  </r>
  <r>
    <s v="TRX0109"/>
    <d v="2024-11-08T00:00:00"/>
    <s v="CUST010"/>
    <s v="Maria Garcia"/>
    <s v="P008"/>
    <x v="2"/>
    <s v="Furniture"/>
    <n v="2"/>
    <n v="149.99"/>
    <s v="Credit Card"/>
    <x v="3"/>
    <s v="Premium"/>
    <d v="2022-10-14T00:00:00"/>
    <x v="22"/>
  </r>
  <r>
    <s v="TRX0090"/>
    <d v="2024-11-09T00:00:00"/>
    <s v="CUST020"/>
    <s v="Margaret Wright"/>
    <s v="P009"/>
    <x v="0"/>
    <s v="Electronics"/>
    <n v="1"/>
    <n v="249.99"/>
    <s v="Credit Card"/>
    <x v="2"/>
    <s v="Premium"/>
    <d v="2022-09-24T00:00:00"/>
    <x v="39"/>
  </r>
  <r>
    <s v="TRX0035"/>
    <d v="2024-11-11T00:00:00"/>
    <s v="CUST041"/>
    <s v="Peter Richardson"/>
    <s v="P003"/>
    <x v="3"/>
    <s v="Electronics"/>
    <n v="3"/>
    <n v="149.99"/>
    <s v="Cash"/>
    <x v="2"/>
    <s v="Basic"/>
    <d v="2022-07-27T00:00:00"/>
    <x v="6"/>
  </r>
  <r>
    <s v="TRX0172"/>
    <d v="2024-11-11T00:00:00"/>
    <s v="CUST023"/>
    <s v="Paul Baker"/>
    <s v="P005"/>
    <x v="1"/>
    <s v="Appliances"/>
    <n v="5"/>
    <n v="59.99"/>
    <s v="PayPal"/>
    <x v="3"/>
    <s v="Premium"/>
    <d v="2022-05-13T00:00:00"/>
    <x v="42"/>
  </r>
  <r>
    <s v="TRX0076"/>
    <d v="2024-11-11T00:00:00"/>
    <s v="CUST012"/>
    <s v="Patricia Moore"/>
    <s v="P009"/>
    <x v="0"/>
    <s v="Electronics"/>
    <n v="4"/>
    <n v="249.99"/>
    <s v="Credit Card"/>
    <x v="3"/>
    <s v="Standard"/>
    <d v="2022-04-08T00:00:00"/>
    <x v="14"/>
  </r>
  <r>
    <s v="TRX0210"/>
    <d v="2024-11-12T00:00:00"/>
    <s v="CUST004"/>
    <s v="Sarah Davis"/>
    <s v="P008"/>
    <x v="2"/>
    <s v="Furniture"/>
    <n v="5"/>
    <n v="149.99"/>
    <s v="PayPal"/>
    <x v="0"/>
    <s v="Basic"/>
    <d v="2022-12-06T00:00:00"/>
    <x v="2"/>
  </r>
  <r>
    <s v="TRX0149"/>
    <d v="2024-11-12T00:00:00"/>
    <s v="CUST027"/>
    <s v="George Adams"/>
    <s v="P005"/>
    <x v="1"/>
    <s v="Appliances"/>
    <n v="3"/>
    <n v="59.99"/>
    <s v="Debit Card"/>
    <x v="1"/>
    <s v="Standard"/>
    <d v="2023-11-30T00:00:00"/>
    <x v="1"/>
  </r>
  <r>
    <s v="TRX0073"/>
    <d v="2024-11-17T00:00:00"/>
    <s v="CUST032"/>
    <s v="Sandra Phillips"/>
    <s v="P008"/>
    <x v="2"/>
    <s v="Furniture"/>
    <n v="5"/>
    <n v="149.99"/>
    <s v="Cash"/>
    <x v="2"/>
    <s v="Basic"/>
    <d v="2022-11-04T00:00:00"/>
    <x v="2"/>
  </r>
  <r>
    <s v="TRX0033"/>
    <d v="2024-11-17T00:00:00"/>
    <s v="CUST025"/>
    <s v="Mark Carter"/>
    <s v="P002"/>
    <x v="5"/>
    <s v="Electronics"/>
    <n v="2"/>
    <n v="699.99"/>
    <s v="PayPal"/>
    <x v="3"/>
    <s v="Standard"/>
    <d v="2022-07-28T00:00:00"/>
    <x v="10"/>
  </r>
  <r>
    <s v="TRX0160"/>
    <d v="2024-11-21T00:00:00"/>
    <s v="CUST029"/>
    <s v="Edward Mitchell"/>
    <s v="P006"/>
    <x v="9"/>
    <s v="Furniture"/>
    <n v="4"/>
    <n v="199.99"/>
    <s v="Debit Card"/>
    <x v="0"/>
    <s v="Premium"/>
    <d v="2021-08-19T00:00:00"/>
    <x v="37"/>
  </r>
  <r>
    <s v="TRX0145"/>
    <d v="2024-11-23T00:00:00"/>
    <s v="CUST033"/>
    <s v="Frank Torres"/>
    <s v="P005"/>
    <x v="1"/>
    <s v="Appliances"/>
    <n v="1"/>
    <n v="59.99"/>
    <s v="Debit Card"/>
    <x v="3"/>
    <s v="Standard"/>
    <d v="2021-12-30T00:00:00"/>
    <x v="30"/>
  </r>
  <r>
    <s v="TRX0148"/>
    <d v="2024-11-23T00:00:00"/>
    <s v="CUST004"/>
    <s v="Sarah Davis"/>
    <s v="P002"/>
    <x v="5"/>
    <s v="Electronics"/>
    <n v="3"/>
    <n v="699.99"/>
    <s v="PayPal"/>
    <x v="3"/>
    <s v="Standard"/>
    <d v="2022-01-22T00:00:00"/>
    <x v="7"/>
  </r>
  <r>
    <s v="TRX0012"/>
    <d v="2024-11-26T00:00:00"/>
    <s v="CUST045"/>
    <s v="Douglas Watson"/>
    <s v="P009"/>
    <x v="0"/>
    <s v="Electronics"/>
    <n v="5"/>
    <n v="249.99"/>
    <s v="Credit Card"/>
    <x v="2"/>
    <s v="Basic"/>
    <d v="2022-11-08T00:00:00"/>
    <x v="16"/>
  </r>
  <r>
    <s v="TRX0206"/>
    <d v="2024-11-27T00:00:00"/>
    <s v="CUST014"/>
    <s v="Linda Martin"/>
    <s v="P008"/>
    <x v="2"/>
    <s v="Furniture"/>
    <n v="2"/>
    <n v="149.99"/>
    <s v="Cash"/>
    <x v="1"/>
    <s v="Standard"/>
    <d v="2023-06-24T00:00:00"/>
    <x v="22"/>
  </r>
  <r>
    <s v="TRX0045"/>
    <d v="2024-12-01T00:00:00"/>
    <s v="CUST021"/>
    <s v="Kevin Scott"/>
    <s v="P007"/>
    <x v="6"/>
    <s v="Furniture"/>
    <n v="3"/>
    <n v="299.99"/>
    <s v="Cash"/>
    <x v="1"/>
    <s v="Premium"/>
    <d v="2022-04-08T00:00:00"/>
    <x v="23"/>
  </r>
  <r>
    <s v="TRX0094"/>
    <d v="2024-12-01T00:00:00"/>
    <s v="CUST017"/>
    <s v="Charles Allen"/>
    <s v="P009"/>
    <x v="0"/>
    <s v="Electronics"/>
    <n v="5"/>
    <n v="249.99"/>
    <s v="Cash"/>
    <x v="0"/>
    <s v="Premium"/>
    <d v="2021-10-16T00:00:00"/>
    <x v="16"/>
  </r>
  <r>
    <s v="TRX0133"/>
    <d v="2024-12-01T00:00:00"/>
    <s v="CUST013"/>
    <s v="Joseph Jackson"/>
    <s v="P003"/>
    <x v="3"/>
    <s v="Electronics"/>
    <n v="2"/>
    <n v="149.99"/>
    <s v="Cash"/>
    <x v="1"/>
    <s v="Premium"/>
    <d v="2021-10-06T00:00:00"/>
    <x v="22"/>
  </r>
  <r>
    <s v="TRX0201"/>
    <d v="2024-12-01T00:00:00"/>
    <s v="CUST025"/>
    <s v="Mark Carter"/>
    <s v="P002"/>
    <x v="5"/>
    <s v="Electronics"/>
    <n v="5"/>
    <n v="699.99"/>
    <s v="Debit Card"/>
    <x v="3"/>
    <s v="Standard"/>
    <d v="2023-01-18T00:00:00"/>
    <x v="12"/>
  </r>
  <r>
    <s v="TRX0137"/>
    <d v="2024-12-03T00:00:00"/>
    <s v="CUST011"/>
    <s v="William White"/>
    <s v="P009"/>
    <x v="0"/>
    <s v="Electronics"/>
    <n v="4"/>
    <n v="249.99"/>
    <s v="PayPal"/>
    <x v="4"/>
    <s v="Premium"/>
    <d v="2023-06-21T00:00:00"/>
    <x v="14"/>
  </r>
  <r>
    <s v="TRX0066"/>
    <d v="2024-12-04T00:00:00"/>
    <s v="CUST024"/>
    <s v="Dorothy Nelson"/>
    <s v="P002"/>
    <x v="5"/>
    <s v="Electronics"/>
    <n v="4"/>
    <n v="699.99"/>
    <s v="Credit Card"/>
    <x v="2"/>
    <s v="Premium"/>
    <d v="2022-05-22T00:00:00"/>
    <x v="13"/>
  </r>
  <r>
    <s v="TRX0180"/>
    <d v="2024-12-09T00:00:00"/>
    <s v="CUST036"/>
    <s v="Nancy Collins"/>
    <s v="P009"/>
    <x v="0"/>
    <s v="Electronics"/>
    <n v="2"/>
    <n v="249.99"/>
    <s v="Credit Card"/>
    <x v="0"/>
    <s v="Premium"/>
    <d v="2021-07-19T00:00:00"/>
    <x v="36"/>
  </r>
  <r>
    <s v="TRX0082"/>
    <d v="2024-12-09T00:00:00"/>
    <s v="CUST005"/>
    <s v="James Johnson"/>
    <s v="P005"/>
    <x v="1"/>
    <s v="Appliances"/>
    <n v="3"/>
    <n v="59.99"/>
    <s v="Cash"/>
    <x v="0"/>
    <s v="Premium"/>
    <d v="2023-05-06T00:00:00"/>
    <x v="1"/>
  </r>
  <r>
    <s v="TRX0036"/>
    <d v="2024-12-09T00:00:00"/>
    <s v="CUST008"/>
    <s v="Jennifer Taylor"/>
    <s v="P004"/>
    <x v="7"/>
    <s v="Appliances"/>
    <n v="4"/>
    <n v="79.989999999999995"/>
    <s v="Debit Card"/>
    <x v="4"/>
    <s v="Standard"/>
    <d v="2022-12-26T00:00:00"/>
    <x v="40"/>
  </r>
  <r>
    <s v="TRX0198"/>
    <d v="2024-12-10T00:00:00"/>
    <s v="CUST030"/>
    <s v="Helen Roberts"/>
    <s v="P004"/>
    <x v="7"/>
    <s v="Appliances"/>
    <n v="3"/>
    <n v="79.989999999999995"/>
    <s v="Debit Card"/>
    <x v="4"/>
    <s v="Standard"/>
    <d v="2022-08-06T00:00:00"/>
    <x v="18"/>
  </r>
  <r>
    <s v="TRX0032"/>
    <d v="2024-12-12T00:00:00"/>
    <s v="CUST041"/>
    <s v="Peter Richardson"/>
    <s v="P001"/>
    <x v="4"/>
    <s v="Electronics"/>
    <n v="2"/>
    <n v="899.99"/>
    <s v="Cash"/>
    <x v="2"/>
    <s v="Basic"/>
    <d v="2021-07-29T00:00:00"/>
    <x v="43"/>
  </r>
  <r>
    <s v="TRX0081"/>
    <d v="2024-12-15T00:00:00"/>
    <s v="CUST007"/>
    <s v="David Martinez"/>
    <s v="P008"/>
    <x v="2"/>
    <s v="Furniture"/>
    <n v="1"/>
    <n v="149.99"/>
    <s v="Debit Card"/>
    <x v="4"/>
    <s v="Standard"/>
    <d v="2023-10-01T00:00:00"/>
    <x v="5"/>
  </r>
  <r>
    <s v="TRX0224"/>
    <d v="2024-12-15T00:00:00"/>
    <s v="CUST031"/>
    <s v="Steven Turner"/>
    <s v="P007"/>
    <x v="6"/>
    <s v="Furniture"/>
    <n v="2"/>
    <n v="299.99"/>
    <s v="Cash"/>
    <x v="4"/>
    <s v="Premium"/>
    <d v="2022-06-12T00:00:00"/>
    <x v="31"/>
  </r>
  <r>
    <s v="TRX0028"/>
    <d v="2024-12-18T00:00:00"/>
    <s v="CUST002"/>
    <s v="Emma Wilson"/>
    <s v="P005"/>
    <x v="1"/>
    <s v="Appliances"/>
    <n v="2"/>
    <n v="59.99"/>
    <s v="Cash"/>
    <x v="3"/>
    <s v="Basic"/>
    <d v="2023-09-22T00:00:00"/>
    <x v="3"/>
  </r>
  <r>
    <s v="TRX0183"/>
    <d v="2024-12-19T00:00:00"/>
    <s v="CUST007"/>
    <s v="David Martinez"/>
    <s v="P010"/>
    <x v="8"/>
    <s v="Electronics"/>
    <n v="1"/>
    <n v="89.99"/>
    <s v="Debit Card"/>
    <x v="0"/>
    <s v="Standard"/>
    <d v="2022-07-18T00:00:00"/>
    <x v="27"/>
  </r>
  <r>
    <s v="TRX0163"/>
    <d v="2024-12-19T00:00:00"/>
    <s v="CUST019"/>
    <s v="Daniel King"/>
    <s v="P001"/>
    <x v="4"/>
    <s v="Electronics"/>
    <n v="5"/>
    <n v="899.99"/>
    <s v="Debit Card"/>
    <x v="4"/>
    <s v="Standard"/>
    <d v="2022-03-05T00:00:00"/>
    <x v="29"/>
  </r>
  <r>
    <s v="TRX0046"/>
    <d v="2024-12-20T00:00:00"/>
    <s v="CUST003"/>
    <s v="Michael Brown"/>
    <s v="P008"/>
    <x v="2"/>
    <s v="Furniture"/>
    <n v="2"/>
    <n v="149.99"/>
    <s v="Cash"/>
    <x v="1"/>
    <s v="Basic"/>
    <d v="2023-11-09T00:00:00"/>
    <x v="22"/>
  </r>
  <r>
    <s v="TRX0164"/>
    <d v="2024-12-22T00:00:00"/>
    <s v="CUST014"/>
    <s v="Linda Martin"/>
    <s v="P003"/>
    <x v="3"/>
    <s v="Electronics"/>
    <n v="2"/>
    <n v="149.99"/>
    <s v="Debit Card"/>
    <x v="3"/>
    <s v="Premium"/>
    <d v="2023-12-20T00:00:00"/>
    <x v="22"/>
  </r>
  <r>
    <s v="TRX0008"/>
    <d v="2024-12-22T00:00:00"/>
    <s v="CUST007"/>
    <s v="David Martinez"/>
    <s v="P008"/>
    <x v="2"/>
    <s v="Furniture"/>
    <n v="3"/>
    <n v="149.99"/>
    <s v="Debit Card"/>
    <x v="2"/>
    <s v="Standard"/>
    <d v="2021-11-22T00:00:00"/>
    <x v="6"/>
  </r>
  <r>
    <s v="TRX0171"/>
    <d v="2024-12-23T00:00:00"/>
    <s v="CUST021"/>
    <s v="Kevin Scott"/>
    <s v="P007"/>
    <x v="6"/>
    <s v="Furniture"/>
    <n v="2"/>
    <n v="299.99"/>
    <s v="PayPal"/>
    <x v="1"/>
    <s v="Basic"/>
    <d v="2022-06-09T00:00:00"/>
    <x v="31"/>
  </r>
  <r>
    <s v="TRX0143"/>
    <d v="2024-12-28T00:00:00"/>
    <s v="CUST003"/>
    <s v="Michael Brown"/>
    <s v="P007"/>
    <x v="6"/>
    <s v="Furniture"/>
    <n v="2"/>
    <n v="299.99"/>
    <s v="Cash"/>
    <x v="3"/>
    <s v="Basic"/>
    <d v="2022-07-29T00:00:00"/>
    <x v="31"/>
  </r>
  <r>
    <s v="TRX0165"/>
    <d v="2024-12-28T00:00:00"/>
    <s v="CUST030"/>
    <s v="Helen Roberts"/>
    <s v="P006"/>
    <x v="9"/>
    <s v="Furniture"/>
    <n v="4"/>
    <n v="199.99"/>
    <s v="Credit Card"/>
    <x v="0"/>
    <s v="Basic"/>
    <d v="2021-11-23T00:00:00"/>
    <x v="37"/>
  </r>
  <r>
    <s v="TRX0156"/>
    <d v="2024-12-29T00:00:00"/>
    <s v="CUST009"/>
    <s v="Robert Thomas"/>
    <s v="P010"/>
    <x v="8"/>
    <s v="Electronics"/>
    <n v="1"/>
    <n v="89.99"/>
    <s v="Credit Card"/>
    <x v="1"/>
    <s v="Premium"/>
    <d v="2022-01-30T00:00:00"/>
    <x v="27"/>
  </r>
  <r>
    <s v="TRX0147"/>
    <d v="2024-12-29T00:00:00"/>
    <s v="CUST036"/>
    <s v="Nancy Collins"/>
    <s v="P008"/>
    <x v="2"/>
    <s v="Furniture"/>
    <n v="5"/>
    <n v="149.99"/>
    <s v="Cash"/>
    <x v="0"/>
    <s v="Premium"/>
    <d v="2024-02-25T00:00:00"/>
    <x v="2"/>
  </r>
  <r>
    <s v="TRX0207"/>
    <d v="2024-12-31T00:00:00"/>
    <s v="CUST025"/>
    <s v="Mark Carter"/>
    <s v="P001"/>
    <x v="4"/>
    <s v="Electronics"/>
    <n v="1"/>
    <n v="899.99"/>
    <s v="PayPal"/>
    <x v="2"/>
    <s v="Premium"/>
    <d v="2023-05-04T00:00:00"/>
    <x v="8"/>
  </r>
  <r>
    <s v="TRX0056"/>
    <d v="2025-01-03T00:00:00"/>
    <s v="CUST019"/>
    <s v="Daniel King"/>
    <s v="P010"/>
    <x v="8"/>
    <s v="Electronics"/>
    <n v="2"/>
    <n v="89.99"/>
    <s v="Credit Card"/>
    <x v="1"/>
    <s v="Premium"/>
    <d v="2022-01-03T00:00:00"/>
    <x v="28"/>
  </r>
  <r>
    <s v="TRX0026"/>
    <d v="2025-01-04T00:00:00"/>
    <s v="CUST037"/>
    <s v="Arthur Edwards"/>
    <s v="P001"/>
    <x v="4"/>
    <s v="Electronics"/>
    <n v="1"/>
    <n v="899.99"/>
    <s v="PayPal"/>
    <x v="2"/>
    <s v="Standard"/>
    <d v="2022-07-10T00:00:00"/>
    <x v="8"/>
  </r>
  <r>
    <s v="TRX0237"/>
    <d v="2025-01-06T00:00:00"/>
    <s v="CUST006"/>
    <s v="Lisa Anderson"/>
    <s v="P003"/>
    <x v="3"/>
    <s v="Electronics"/>
    <n v="5"/>
    <n v="149.99"/>
    <s v="PayPal"/>
    <x v="4"/>
    <s v="Premium"/>
    <d v="2022-09-20T00:00:00"/>
    <x v="2"/>
  </r>
  <r>
    <s v="TRX0091"/>
    <d v="2025-01-06T00:00:00"/>
    <s v="CUST003"/>
    <s v="Michael Brown"/>
    <s v="P007"/>
    <x v="6"/>
    <s v="Furniture"/>
    <n v="3"/>
    <n v="299.99"/>
    <s v="Cash"/>
    <x v="1"/>
    <s v="Standard"/>
    <d v="2021-08-14T00:00:00"/>
    <x v="23"/>
  </r>
  <r>
    <s v="TRX0125"/>
    <d v="2025-01-09T00:00:00"/>
    <s v="CUST026"/>
    <s v="Karen Hill"/>
    <s v="P002"/>
    <x v="5"/>
    <s v="Electronics"/>
    <n v="3"/>
    <n v="699.99"/>
    <s v="Credit Card"/>
    <x v="0"/>
    <s v="Premium"/>
    <d v="2023-06-28T00:00:00"/>
    <x v="7"/>
  </r>
  <r>
    <s v="TRX0223"/>
    <d v="2025-01-10T00:00:00"/>
    <s v="CUST036"/>
    <s v="Nancy Collins"/>
    <s v="P006"/>
    <x v="9"/>
    <s v="Furniture"/>
    <n v="5"/>
    <n v="199.99"/>
    <s v="PayPal"/>
    <x v="0"/>
    <s v="Standard"/>
    <d v="2022-03-13T00:00:00"/>
    <x v="21"/>
  </r>
  <r>
    <s v="TRX0243"/>
    <d v="2025-01-10T00:00:00"/>
    <s v="CUST048"/>
    <s v="Virginia Sanders"/>
    <s v="P009"/>
    <x v="0"/>
    <s v="Electronics"/>
    <n v="5"/>
    <n v="249.99"/>
    <s v="Credit Card"/>
    <x v="1"/>
    <s v="Basic"/>
    <d v="2024-02-08T00:00:00"/>
    <x v="16"/>
  </r>
  <r>
    <s v="TRX0084"/>
    <d v="2025-01-11T00:00:00"/>
    <s v="CUST031"/>
    <s v="Steven Turner"/>
    <s v="P003"/>
    <x v="3"/>
    <s v="Electronics"/>
    <n v="4"/>
    <n v="149.99"/>
    <s v="Debit Card"/>
    <x v="4"/>
    <s v="Standard"/>
    <d v="2021-12-06T00:00:00"/>
    <x v="9"/>
  </r>
  <r>
    <s v="TRX0238"/>
    <d v="2025-01-11T00:00:00"/>
    <s v="CUST038"/>
    <s v="Michelle Rogers"/>
    <s v="P002"/>
    <x v="5"/>
    <s v="Electronics"/>
    <n v="3"/>
    <n v="699.99"/>
    <s v="Cash"/>
    <x v="2"/>
    <s v="Premium"/>
    <d v="2022-02-10T00:00:00"/>
    <x v="7"/>
  </r>
  <r>
    <s v="TRX0102"/>
    <d v="2025-01-13T00:00:00"/>
    <s v="CUST045"/>
    <s v="Douglas Watson"/>
    <s v="P004"/>
    <x v="7"/>
    <s v="Appliances"/>
    <n v="1"/>
    <n v="79.989999999999995"/>
    <s v="Credit Card"/>
    <x v="1"/>
    <s v="Basic"/>
    <d v="2024-01-31T00:00:00"/>
    <x v="26"/>
  </r>
  <r>
    <s v="TRX0022"/>
    <d v="2025-01-13T00:00:00"/>
    <s v="CUST025"/>
    <s v="Mark Carter"/>
    <s v="P007"/>
    <x v="6"/>
    <s v="Furniture"/>
    <n v="1"/>
    <n v="299.99"/>
    <s v="Credit Card"/>
    <x v="2"/>
    <s v="Basic"/>
    <d v="2021-08-28T00:00:00"/>
    <x v="34"/>
  </r>
  <r>
    <s v="TRX0087"/>
    <d v="2025-01-14T00:00:00"/>
    <s v="CUST028"/>
    <s v="Betty Campbell"/>
    <s v="P009"/>
    <x v="0"/>
    <s v="Electronics"/>
    <n v="4"/>
    <n v="249.99"/>
    <s v="Credit Card"/>
    <x v="2"/>
    <s v="Premium"/>
    <d v="2021-09-21T00:00:00"/>
    <x v="14"/>
  </r>
  <r>
    <s v="TRX0107"/>
    <d v="2025-01-14T00:00:00"/>
    <s v="CUST030"/>
    <s v="Helen Roberts"/>
    <s v="P003"/>
    <x v="3"/>
    <s v="Electronics"/>
    <n v="2"/>
    <n v="149.99"/>
    <s v="Cash"/>
    <x v="2"/>
    <s v="Standard"/>
    <d v="2022-12-18T00:00:00"/>
    <x v="22"/>
  </r>
  <r>
    <s v="TRX0051"/>
    <d v="2025-01-14T00:00:00"/>
    <s v="CUST032"/>
    <s v="Sandra Phillips"/>
    <s v="P007"/>
    <x v="6"/>
    <s v="Furniture"/>
    <n v="3"/>
    <n v="299.99"/>
    <s v="Credit Card"/>
    <x v="1"/>
    <s v="Basic"/>
    <d v="2023-10-05T00:00:00"/>
    <x v="23"/>
  </r>
  <r>
    <s v="TRX0106"/>
    <d v="2025-01-16T00:00:00"/>
    <s v="CUST039"/>
    <s v="Lawrence Reed"/>
    <s v="P006"/>
    <x v="9"/>
    <s v="Furniture"/>
    <n v="4"/>
    <n v="199.99"/>
    <s v="Debit Card"/>
    <x v="1"/>
    <s v="Standard"/>
    <d v="2021-12-14T00:00:00"/>
    <x v="37"/>
  </r>
  <r>
    <s v="TRX0059"/>
    <d v="2025-01-16T00:00:00"/>
    <s v="CUST016"/>
    <s v="Elizabeth Hall"/>
    <s v="P007"/>
    <x v="6"/>
    <s v="Furniture"/>
    <n v="5"/>
    <n v="299.99"/>
    <s v="Debit Card"/>
    <x v="0"/>
    <s v="Basic"/>
    <d v="2021-08-23T00:00:00"/>
    <x v="17"/>
  </r>
  <r>
    <s v="TRX0072"/>
    <d v="2025-01-16T00:00:00"/>
    <s v="CUST009"/>
    <s v="Robert Thomas"/>
    <s v="P008"/>
    <x v="2"/>
    <s v="Furniture"/>
    <n v="3"/>
    <n v="149.99"/>
    <s v="Credit Card"/>
    <x v="4"/>
    <s v="Standard"/>
    <d v="2021-07-18T00:00:00"/>
    <x v="6"/>
  </r>
  <r>
    <s v="TRX0110"/>
    <d v="2025-01-19T00:00:00"/>
    <s v="CUST006"/>
    <s v="Lisa Anderson"/>
    <s v="P005"/>
    <x v="1"/>
    <s v="Appliances"/>
    <n v="5"/>
    <n v="59.99"/>
    <s v="Debit Card"/>
    <x v="4"/>
    <s v="Basic"/>
    <d v="2022-03-22T00:00:00"/>
    <x v="42"/>
  </r>
  <r>
    <s v="TRX0126"/>
    <d v="2025-01-25T00:00:00"/>
    <s v="CUST022"/>
    <s v="Susan Green"/>
    <s v="P005"/>
    <x v="1"/>
    <s v="Appliances"/>
    <n v="4"/>
    <n v="59.99"/>
    <s v="Debit Card"/>
    <x v="4"/>
    <s v="Standard"/>
    <d v="2022-01-03T00:00:00"/>
    <x v="20"/>
  </r>
  <r>
    <s v="TRX0159"/>
    <d v="2025-01-26T00:00:00"/>
    <s v="CUST024"/>
    <s v="Dorothy Nelson"/>
    <s v="P009"/>
    <x v="0"/>
    <s v="Electronics"/>
    <n v="4"/>
    <n v="249.99"/>
    <s v="Debit Card"/>
    <x v="0"/>
    <s v="Premium"/>
    <d v="2023-10-18T00:00:00"/>
    <x v="14"/>
  </r>
  <r>
    <s v="TRX0030"/>
    <d v="2025-01-29T00:00:00"/>
    <s v="CUST011"/>
    <s v="William White"/>
    <s v="P001"/>
    <x v="4"/>
    <s v="Electronics"/>
    <n v="4"/>
    <n v="899.99"/>
    <s v="PayPal"/>
    <x v="0"/>
    <s v="Basic"/>
    <d v="2022-06-22T00:00:00"/>
    <x v="11"/>
  </r>
  <r>
    <s v="TRX0178"/>
    <d v="2025-01-29T00:00:00"/>
    <s v="CUST025"/>
    <s v="Mark Carter"/>
    <s v="P007"/>
    <x v="6"/>
    <s v="Furniture"/>
    <n v="3"/>
    <n v="299.99"/>
    <s v="Debit Card"/>
    <x v="3"/>
    <s v="Standard"/>
    <d v="2023-01-26T00:00:00"/>
    <x v="23"/>
  </r>
  <r>
    <s v="TRX0188"/>
    <d v="2025-01-29T00:00:00"/>
    <s v="CUST045"/>
    <s v="Douglas Watson"/>
    <s v="P002"/>
    <x v="5"/>
    <s v="Electronics"/>
    <n v="2"/>
    <n v="699.99"/>
    <s v="Debit Card"/>
    <x v="0"/>
    <s v="Premium"/>
    <d v="2022-04-30T00:00:00"/>
    <x v="10"/>
  </r>
  <r>
    <s v="TRX0010"/>
    <d v="2025-01-31T00:00:00"/>
    <s v="CUST026"/>
    <s v="Karen Hill"/>
    <s v="P002"/>
    <x v="5"/>
    <s v="Electronics"/>
    <n v="4"/>
    <n v="699.99"/>
    <s v="Debit Card"/>
    <x v="3"/>
    <s v="Premium"/>
    <d v="2022-05-11T00:00:00"/>
    <x v="13"/>
  </r>
  <r>
    <s v="TRX0069"/>
    <d v="2025-01-31T00:00:00"/>
    <s v="CUST029"/>
    <s v="Edward Mitchell"/>
    <s v="P010"/>
    <x v="8"/>
    <s v="Electronics"/>
    <n v="2"/>
    <n v="89.99"/>
    <s v="Debit Card"/>
    <x v="1"/>
    <s v="Basic"/>
    <d v="2022-08-04T00:00:00"/>
    <x v="28"/>
  </r>
  <r>
    <s v="TRX0166"/>
    <d v="2025-01-31T00:00:00"/>
    <s v="CUST003"/>
    <s v="Michael Brown"/>
    <s v="P010"/>
    <x v="8"/>
    <s v="Electronics"/>
    <n v="3"/>
    <n v="89.99"/>
    <s v="Debit Card"/>
    <x v="1"/>
    <s v="Premium"/>
    <d v="2024-01-16T00:00:00"/>
    <x v="25"/>
  </r>
  <r>
    <s v="TRX0219"/>
    <d v="2025-02-04T00:00:00"/>
    <s v="CUST037"/>
    <s v="Arthur Edwards"/>
    <s v="P005"/>
    <x v="1"/>
    <s v="Appliances"/>
    <n v="1"/>
    <n v="59.99"/>
    <s v="Debit Card"/>
    <x v="0"/>
    <s v="Standard"/>
    <d v="2023-04-29T00:00:00"/>
    <x v="30"/>
  </r>
  <r>
    <s v="TRX0024"/>
    <d v="2025-02-07T00:00:00"/>
    <s v="CUST042"/>
    <s v="Ruth Brooks"/>
    <s v="P008"/>
    <x v="2"/>
    <s v="Furniture"/>
    <n v="3"/>
    <n v="149.99"/>
    <s v="Debit Card"/>
    <x v="2"/>
    <s v="Premium"/>
    <d v="2022-01-03T00:00:00"/>
    <x v="6"/>
  </r>
  <r>
    <s v="TRX0105"/>
    <d v="2025-02-07T00:00:00"/>
    <s v="CUST048"/>
    <s v="Virginia Sanders"/>
    <s v="P007"/>
    <x v="6"/>
    <s v="Furniture"/>
    <n v="5"/>
    <n v="299.99"/>
    <s v="Credit Card"/>
    <x v="1"/>
    <s v="Basic"/>
    <d v="2023-02-02T00:00:00"/>
    <x v="17"/>
  </r>
  <r>
    <s v="TRX0011"/>
    <d v="2025-02-08T00:00:00"/>
    <s v="CUST040"/>
    <s v="Sharon Butler"/>
    <s v="P005"/>
    <x v="1"/>
    <s v="Appliances"/>
    <n v="5"/>
    <n v="59.99"/>
    <s v="Debit Card"/>
    <x v="0"/>
    <s v="Standard"/>
    <d v="2023-09-08T00:00:00"/>
    <x v="42"/>
  </r>
  <r>
    <s v="TRX0187"/>
    <d v="2025-02-13T00:00:00"/>
    <s v="CUST036"/>
    <s v="Nancy Collins"/>
    <s v="P004"/>
    <x v="7"/>
    <s v="Appliances"/>
    <n v="3"/>
    <n v="79.989999999999995"/>
    <s v="Cash"/>
    <x v="4"/>
    <s v="Premium"/>
    <d v="2021-08-28T00:00:00"/>
    <x v="18"/>
  </r>
  <r>
    <s v="TRX0089"/>
    <d v="2025-02-16T00:00:00"/>
    <s v="CUST021"/>
    <s v="Kevin Scott"/>
    <s v="P006"/>
    <x v="9"/>
    <s v="Furniture"/>
    <n v="3"/>
    <n v="199.99"/>
    <s v="Cash"/>
    <x v="0"/>
    <s v="Basic"/>
    <d v="2022-06-23T00:00:00"/>
    <x v="24"/>
  </r>
  <r>
    <s v="TRX0196"/>
    <d v="2025-02-16T00:00:00"/>
    <s v="CUST023"/>
    <s v="Paul Baker"/>
    <s v="P010"/>
    <x v="8"/>
    <s v="Electronics"/>
    <n v="2"/>
    <n v="89.99"/>
    <s v="PayPal"/>
    <x v="0"/>
    <s v="Basic"/>
    <d v="2023-11-27T00:00:00"/>
    <x v="28"/>
  </r>
  <r>
    <s v="TRX0118"/>
    <d v="2025-02-17T00:00:00"/>
    <s v="CUST015"/>
    <s v="Richard Lee"/>
    <s v="P008"/>
    <x v="2"/>
    <s v="Furniture"/>
    <n v="2"/>
    <n v="149.99"/>
    <s v="Cash"/>
    <x v="1"/>
    <s v="Premium"/>
    <d v="2022-06-16T00:00:00"/>
    <x v="22"/>
  </r>
  <r>
    <s v="TRX0179"/>
    <d v="2025-02-19T00:00:00"/>
    <s v="CUST029"/>
    <s v="Edward Mitchell"/>
    <s v="P002"/>
    <x v="5"/>
    <s v="Electronics"/>
    <n v="5"/>
    <n v="699.99"/>
    <s v="PayPal"/>
    <x v="1"/>
    <s v="Premium"/>
    <d v="2024-03-01T00:00:00"/>
    <x v="12"/>
  </r>
  <r>
    <s v="TRX0168"/>
    <d v="2025-02-19T00:00:00"/>
    <s v="CUST003"/>
    <s v="Michael Brown"/>
    <s v="P008"/>
    <x v="2"/>
    <s v="Furniture"/>
    <n v="3"/>
    <n v="149.99"/>
    <s v="PayPal"/>
    <x v="0"/>
    <s v="Standard"/>
    <d v="2022-03-13T00:00:00"/>
    <x v="6"/>
  </r>
  <r>
    <s v="TRX0214"/>
    <d v="2025-02-20T00:00:00"/>
    <s v="CUST018"/>
    <s v="Barbara Young"/>
    <s v="P001"/>
    <x v="4"/>
    <s v="Electronics"/>
    <n v="3"/>
    <n v="899.99"/>
    <s v="Cash"/>
    <x v="4"/>
    <s v="Standard"/>
    <d v="2022-02-21T00:00:00"/>
    <x v="4"/>
  </r>
  <r>
    <s v="TRX0221"/>
    <d v="2025-02-20T00:00:00"/>
    <s v="CUST033"/>
    <s v="Frank Torres"/>
    <s v="P006"/>
    <x v="9"/>
    <s v="Furniture"/>
    <n v="3"/>
    <n v="199.99"/>
    <s v="Cash"/>
    <x v="3"/>
    <s v="Premium"/>
    <d v="2022-09-19T00:00:00"/>
    <x v="24"/>
  </r>
  <r>
    <s v="TRX0083"/>
    <d v="2025-02-22T00:00:00"/>
    <s v="CUST017"/>
    <s v="Charles Allen"/>
    <s v="P007"/>
    <x v="6"/>
    <s v="Furniture"/>
    <n v="5"/>
    <n v="299.99"/>
    <s v="Cash"/>
    <x v="3"/>
    <s v="Standard"/>
    <d v="2023-08-04T00:00:00"/>
    <x v="17"/>
  </r>
  <r>
    <s v="TRX0151"/>
    <d v="2025-02-22T00:00:00"/>
    <s v="CUST040"/>
    <s v="Sharon Butler"/>
    <s v="P002"/>
    <x v="5"/>
    <s v="Electronics"/>
    <n v="1"/>
    <n v="699.99"/>
    <s v="PayPal"/>
    <x v="3"/>
    <s v="Basic"/>
    <d v="2023-01-08T00:00:00"/>
    <x v="38"/>
  </r>
  <r>
    <s v="TRX0047"/>
    <d v="2025-02-23T00:00:00"/>
    <s v="CUST042"/>
    <s v="Ruth Brooks"/>
    <s v="P002"/>
    <x v="5"/>
    <s v="Electronics"/>
    <n v="1"/>
    <n v="699.99"/>
    <s v="Cash"/>
    <x v="2"/>
    <s v="Premium"/>
    <d v="2022-01-22T00:00:00"/>
    <x v="38"/>
  </r>
  <r>
    <s v="TRX0200"/>
    <d v="2025-02-23T00:00:00"/>
    <s v="CUST037"/>
    <s v="Arthur Edwards"/>
    <s v="P008"/>
    <x v="2"/>
    <s v="Furniture"/>
    <n v="4"/>
    <n v="149.99"/>
    <s v="PayPal"/>
    <x v="2"/>
    <s v="Premium"/>
    <d v="2021-08-04T00:00:00"/>
    <x v="9"/>
  </r>
  <r>
    <s v="TRX0062"/>
    <d v="2025-02-23T00:00:00"/>
    <s v="CUST016"/>
    <s v="Elizabeth Hall"/>
    <s v="P010"/>
    <x v="8"/>
    <s v="Electronics"/>
    <n v="5"/>
    <n v="89.99"/>
    <s v="PayPal"/>
    <x v="3"/>
    <s v="Premium"/>
    <d v="2023-08-02T00:00:00"/>
    <x v="19"/>
  </r>
  <r>
    <s v="TRX0182"/>
    <d v="2025-02-24T00:00:00"/>
    <s v="CUST031"/>
    <s v="Steven Turner"/>
    <s v="P006"/>
    <x v="9"/>
    <s v="Furniture"/>
    <n v="2"/>
    <n v="199.99"/>
    <s v="Cash"/>
    <x v="0"/>
    <s v="Premium"/>
    <d v="2022-01-12T00:00:00"/>
    <x v="35"/>
  </r>
  <r>
    <s v="TRX0229"/>
    <d v="2025-02-27T00:00:00"/>
    <s v="CUST015"/>
    <s v="Richard Lee"/>
    <s v="P005"/>
    <x v="1"/>
    <s v="Appliances"/>
    <n v="4"/>
    <n v="59.99"/>
    <s v="Cash"/>
    <x v="3"/>
    <s v="Standard"/>
    <d v="2023-05-24T00:00:00"/>
    <x v="20"/>
  </r>
  <r>
    <s v="TRX0048"/>
    <d v="2025-02-27T00:00:00"/>
    <s v="CUST048"/>
    <s v="Virginia Sanders"/>
    <s v="P007"/>
    <x v="6"/>
    <s v="Furniture"/>
    <n v="2"/>
    <n v="299.99"/>
    <s v="PayPal"/>
    <x v="1"/>
    <s v="Basic"/>
    <d v="2022-01-15T00:00:00"/>
    <x v="31"/>
  </r>
  <r>
    <s v="TRX0227"/>
    <d v="2025-03-02T00:00:00"/>
    <s v="CUST017"/>
    <s v="Charles Allen"/>
    <s v="P008"/>
    <x v="2"/>
    <s v="Furniture"/>
    <n v="2"/>
    <n v="149.99"/>
    <s v="Cash"/>
    <x v="0"/>
    <s v="Basic"/>
    <d v="2023-05-22T00:00:00"/>
    <x v="22"/>
  </r>
  <r>
    <s v="TRX0226"/>
    <d v="2025-03-04T00:00:00"/>
    <s v="CUST039"/>
    <s v="Lawrence Reed"/>
    <s v="P002"/>
    <x v="5"/>
    <s v="Electronics"/>
    <n v="5"/>
    <n v="699.99"/>
    <s v="Debit Card"/>
    <x v="4"/>
    <s v="Premium"/>
    <d v="2023-08-23T00:00:00"/>
    <x v="12"/>
  </r>
  <r>
    <s v="TRX0053"/>
    <d v="2025-03-05T00:00:00"/>
    <s v="CUST043"/>
    <s v="Dennis Gray"/>
    <s v="P005"/>
    <x v="1"/>
    <s v="Appliances"/>
    <n v="5"/>
    <n v="59.99"/>
    <s v="Cash"/>
    <x v="3"/>
    <s v="Premium"/>
    <d v="2023-12-31T00:00:00"/>
    <x v="42"/>
  </r>
  <r>
    <s v="TRX0233"/>
    <d v="2025-03-07T00:00:00"/>
    <s v="CUST023"/>
    <s v="Paul Baker"/>
    <s v="P010"/>
    <x v="8"/>
    <s v="Electronics"/>
    <n v="2"/>
    <n v="89.99"/>
    <s v="Credit Card"/>
    <x v="3"/>
    <s v="Premium"/>
    <d v="2024-01-04T00:00:00"/>
    <x v="28"/>
  </r>
  <r>
    <s v="TRX0175"/>
    <d v="2025-03-07T00:00:00"/>
    <s v="CUST030"/>
    <s v="Helen Roberts"/>
    <s v="P009"/>
    <x v="0"/>
    <s v="Electronics"/>
    <n v="5"/>
    <n v="249.99"/>
    <s v="Cash"/>
    <x v="4"/>
    <s v="Standard"/>
    <d v="2021-12-10T00:00:00"/>
    <x v="16"/>
  </r>
  <r>
    <s v="TRX0186"/>
    <d v="2025-03-08T00:00:00"/>
    <s v="CUST039"/>
    <s v="Lawrence Reed"/>
    <s v="P008"/>
    <x v="2"/>
    <s v="Furniture"/>
    <n v="2"/>
    <n v="149.99"/>
    <s v="PayPal"/>
    <x v="0"/>
    <s v="Premium"/>
    <d v="2022-03-12T00:00:00"/>
    <x v="22"/>
  </r>
  <r>
    <s v="TRX0016"/>
    <d v="2025-03-08T00:00:00"/>
    <s v="CUST035"/>
    <s v="Harry Morgan"/>
    <s v="P001"/>
    <x v="4"/>
    <s v="Electronics"/>
    <n v="5"/>
    <n v="899.99"/>
    <s v="PayPal"/>
    <x v="4"/>
    <s v="Premium"/>
    <d v="2024-04-07T00:00:00"/>
    <x v="29"/>
  </r>
  <r>
    <s v="TRX0199"/>
    <d v="2025-03-08T00:00:00"/>
    <s v="CUST017"/>
    <s v="Charles Allen"/>
    <s v="P008"/>
    <x v="2"/>
    <s v="Furniture"/>
    <n v="4"/>
    <n v="149.99"/>
    <s v="Cash"/>
    <x v="0"/>
    <s v="Standard"/>
    <d v="2023-12-03T00:00:00"/>
    <x v="9"/>
  </r>
  <r>
    <s v="TRX0038"/>
    <d v="2025-03-10T00:00:00"/>
    <s v="CUST035"/>
    <s v="Harry Morgan"/>
    <s v="P009"/>
    <x v="0"/>
    <s v="Electronics"/>
    <n v="1"/>
    <n v="249.99"/>
    <s v="Cash"/>
    <x v="2"/>
    <s v="Standard"/>
    <d v="2023-07-10T00:00:00"/>
    <x v="39"/>
  </r>
  <r>
    <s v="TRX0014"/>
    <d v="2025-03-18T00:00:00"/>
    <s v="CUST033"/>
    <s v="Frank Torres"/>
    <s v="P005"/>
    <x v="1"/>
    <s v="Appliances"/>
    <n v="2"/>
    <n v="59.99"/>
    <s v="Credit Card"/>
    <x v="3"/>
    <s v="Basic"/>
    <d v="2023-09-24T00:00:00"/>
    <x v="3"/>
  </r>
  <r>
    <s v="TRX0003"/>
    <d v="2025-03-21T00:00:00"/>
    <s v="CUST002"/>
    <s v="Emma Wilson"/>
    <s v="P008"/>
    <x v="2"/>
    <s v="Furniture"/>
    <n v="2"/>
    <n v="149.99"/>
    <s v="Cash"/>
    <x v="3"/>
    <s v="Premium"/>
    <d v="2023-11-03T00:00:00"/>
    <x v="22"/>
  </r>
  <r>
    <s v="TRX0124"/>
    <d v="2025-03-21T00:00:00"/>
    <s v="CUST040"/>
    <s v="Sharon Butler"/>
    <s v="P001"/>
    <x v="4"/>
    <s v="Electronics"/>
    <n v="3"/>
    <n v="899.99"/>
    <s v="Debit Card"/>
    <x v="2"/>
    <s v="Premium"/>
    <d v="2022-11-11T00:00:00"/>
    <x v="4"/>
  </r>
  <r>
    <s v="TRX0013"/>
    <d v="2025-03-21T00:00:00"/>
    <s v="CUST024"/>
    <s v="Dorothy Nelson"/>
    <s v="P001"/>
    <x v="4"/>
    <s v="Electronics"/>
    <n v="3"/>
    <n v="899.99"/>
    <s v="PayPal"/>
    <x v="2"/>
    <s v="Basic"/>
    <d v="2023-02-18T00:00:00"/>
    <x v="4"/>
  </r>
  <r>
    <s v="TRX0019"/>
    <d v="2025-03-23T00:00:00"/>
    <s v="CUST023"/>
    <s v="Paul Baker"/>
    <s v="P007"/>
    <x v="6"/>
    <s v="Furniture"/>
    <n v="3"/>
    <n v="299.99"/>
    <s v="Credit Card"/>
    <x v="3"/>
    <s v="Premium"/>
    <d v="2023-11-04T00:00:00"/>
    <x v="23"/>
  </r>
  <r>
    <s v="TRX0050"/>
    <d v="2025-03-24T00:00:00"/>
    <s v="CUST001"/>
    <s v="John Smith"/>
    <s v="P008"/>
    <x v="2"/>
    <s v="Furniture"/>
    <n v="4"/>
    <n v="149.99"/>
    <s v="PayPal"/>
    <x v="3"/>
    <s v="Standard"/>
    <d v="2021-12-30T00:00:00"/>
    <x v="9"/>
  </r>
  <r>
    <s v="TRX0152"/>
    <d v="2025-03-27T00:00:00"/>
    <s v="CUST044"/>
    <s v="Cynthia Price"/>
    <s v="P004"/>
    <x v="7"/>
    <s v="Appliances"/>
    <n v="4"/>
    <n v="79.989999999999995"/>
    <s v="Credit Card"/>
    <x v="0"/>
    <s v="Basic"/>
    <d v="2023-12-28T00:00:00"/>
    <x v="40"/>
  </r>
  <r>
    <s v="TRX0213"/>
    <d v="2025-03-29T00:00:00"/>
    <s v="CUST020"/>
    <s v="Margaret Wright"/>
    <s v="P010"/>
    <x v="8"/>
    <s v="Electronics"/>
    <n v="5"/>
    <n v="89.99"/>
    <s v="PayPal"/>
    <x v="1"/>
    <s v="Basic"/>
    <d v="2022-05-23T00:00:00"/>
    <x v="19"/>
  </r>
  <r>
    <s v="TRX0197"/>
    <d v="2025-03-30T00:00:00"/>
    <s v="CUST048"/>
    <s v="Virginia Sanders"/>
    <s v="P008"/>
    <x v="2"/>
    <s v="Furniture"/>
    <n v="3"/>
    <n v="149.99"/>
    <s v="PayPal"/>
    <x v="0"/>
    <s v="Standard"/>
    <d v="2023-09-02T00:00:00"/>
    <x v="6"/>
  </r>
  <r>
    <s v="TRX0250"/>
    <d v="2025-03-30T00:00:00"/>
    <s v="CUST026"/>
    <s v="Karen Hill"/>
    <s v="P010"/>
    <x v="8"/>
    <s v="Electronics"/>
    <n v="2"/>
    <n v="89.99"/>
    <s v="Debit Card"/>
    <x v="3"/>
    <s v="Premium"/>
    <d v="2021-11-22T00:00:00"/>
    <x v="28"/>
  </r>
  <r>
    <s v="TRX0068"/>
    <d v="2025-04-01T00:00:00"/>
    <s v="CUST044"/>
    <s v="Cynthia Price"/>
    <s v="P002"/>
    <x v="5"/>
    <s v="Electronics"/>
    <n v="2"/>
    <n v="699.99"/>
    <s v="PayPal"/>
    <x v="2"/>
    <s v="Standard"/>
    <d v="2022-02-26T00:00:00"/>
    <x v="10"/>
  </r>
  <r>
    <s v="TRX0144"/>
    <d v="2025-04-02T00:00:00"/>
    <s v="CUST029"/>
    <s v="Edward Mitchell"/>
    <s v="P001"/>
    <x v="4"/>
    <s v="Electronics"/>
    <n v="3"/>
    <n v="899.99"/>
    <s v="Cash"/>
    <x v="0"/>
    <s v="Standard"/>
    <d v="2023-01-27T00:00:00"/>
    <x v="4"/>
  </r>
  <r>
    <s v="TRX0039"/>
    <d v="2025-04-08T00:00:00"/>
    <s v="CUST048"/>
    <s v="Virginia Sanders"/>
    <s v="P004"/>
    <x v="7"/>
    <s v="Appliances"/>
    <n v="3"/>
    <n v="79.989999999999995"/>
    <s v="Credit Card"/>
    <x v="2"/>
    <s v="Basic"/>
    <d v="2021-11-11T00:00:00"/>
    <x v="18"/>
  </r>
  <r>
    <s v="TRX0116"/>
    <d v="2025-04-09T00:00:00"/>
    <s v="CUST009"/>
    <s v="Robert Thomas"/>
    <s v="P010"/>
    <x v="8"/>
    <s v="Electronics"/>
    <n v="1"/>
    <n v="89.99"/>
    <s v="Debit Card"/>
    <x v="4"/>
    <s v="Basic"/>
    <d v="2024-02-24T00:00:00"/>
    <x v="27"/>
  </r>
  <r>
    <s v="TRX0120"/>
    <d v="2025-04-11T00:00:00"/>
    <s v="CUST045"/>
    <s v="Douglas Watson"/>
    <s v="P002"/>
    <x v="5"/>
    <s v="Electronics"/>
    <n v="3"/>
    <n v="699.99"/>
    <s v="PayPal"/>
    <x v="2"/>
    <s v="Basic"/>
    <d v="2022-12-14T00:00:00"/>
    <x v="7"/>
  </r>
  <r>
    <s v="TRX0103"/>
    <d v="2025-04-11T00:00:00"/>
    <s v="CUST039"/>
    <s v="Lawrence Reed"/>
    <s v="P010"/>
    <x v="8"/>
    <s v="Electronics"/>
    <n v="2"/>
    <n v="89.99"/>
    <s v="Debit Card"/>
    <x v="4"/>
    <s v="Basic"/>
    <d v="2023-06-11T00:00:00"/>
    <x v="28"/>
  </r>
  <r>
    <s v="TRX0064"/>
    <d v="2025-04-11T00:00:00"/>
    <s v="CUST031"/>
    <s v="Steven Turner"/>
    <s v="P010"/>
    <x v="8"/>
    <s v="Electronics"/>
    <n v="3"/>
    <n v="89.99"/>
    <s v="Debit Card"/>
    <x v="2"/>
    <s v="Premium"/>
    <d v="2022-11-13T00:0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754DE-6855-4C1D-AE3D-1567F502C479}"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4">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items count="45">
        <item h="1" x="30"/>
        <item h="1" x="26"/>
        <item h="1" x="27"/>
        <item h="1" x="3"/>
        <item h="1" x="5"/>
        <item x="1"/>
        <item h="1" x="28"/>
        <item h="1" x="41"/>
        <item h="1" x="20"/>
        <item h="1" x="18"/>
        <item h="1" x="39"/>
        <item h="1" x="25"/>
        <item h="1" x="42"/>
        <item h="1" x="22"/>
        <item h="1" x="34"/>
        <item h="1" x="40"/>
        <item h="1" x="32"/>
        <item h="1" x="33"/>
        <item h="1" x="35"/>
        <item h="1" x="19"/>
        <item h="1" x="6"/>
        <item h="1" x="36"/>
        <item h="1" x="9"/>
        <item h="1" x="24"/>
        <item h="1" x="31"/>
        <item h="1" x="38"/>
        <item h="1" x="2"/>
        <item h="1" x="0"/>
        <item h="1" x="37"/>
        <item h="1" x="23"/>
        <item h="1" x="8"/>
        <item h="1" x="21"/>
        <item h="1" x="14"/>
        <item h="1" x="15"/>
        <item h="1" x="16"/>
        <item h="1" x="10"/>
        <item h="1" x="17"/>
        <item h="1" x="43"/>
        <item h="1" x="7"/>
        <item h="1" x="4"/>
        <item h="1" x="13"/>
        <item h="1" x="12"/>
        <item h="1" x="11"/>
        <item h="1" x="29"/>
        <item t="default"/>
      </items>
    </pivotField>
  </pivotFields>
  <rowFields count="1">
    <field x="5"/>
  </rowFields>
  <rowItems count="2">
    <i>
      <x/>
    </i>
    <i t="grand">
      <x/>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21CE94-D775-4F56-998E-05F372E1E1CF}" sourceName="Region">
  <pivotTables>
    <pivotTable tabId="12" name="PivotTable1"/>
  </pivotTables>
  <data>
    <tabular pivotCacheId="1943173980">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71B815F2-FABB-49FE-A7DB-0D09330533A3}" sourceName="Total_Amount">
  <pivotTables>
    <pivotTable tabId="12" name="PivotTable1"/>
  </pivotTables>
  <data>
    <tabular pivotCacheId="1943173980">
      <items count="44">
        <i x="30"/>
        <i x="26"/>
        <i x="27"/>
        <i x="3"/>
        <i x="5"/>
        <i x="1" s="1"/>
        <i x="28"/>
        <i x="41"/>
        <i x="20"/>
        <i x="18"/>
        <i x="39"/>
        <i x="25"/>
        <i x="42"/>
        <i x="22"/>
        <i x="34"/>
        <i x="40"/>
        <i x="32"/>
        <i x="33"/>
        <i x="35"/>
        <i x="19"/>
        <i x="6"/>
        <i x="36"/>
        <i x="9"/>
        <i x="24"/>
        <i x="31"/>
        <i x="38"/>
        <i x="2"/>
        <i x="0"/>
        <i x="37"/>
        <i x="23"/>
        <i x="8"/>
        <i x="21"/>
        <i x="14"/>
        <i x="15"/>
        <i x="16"/>
        <i x="10"/>
        <i x="17"/>
        <i x="43"/>
        <i x="7"/>
        <i x="4"/>
        <i x="13"/>
        <i x="12"/>
        <i x="11"/>
        <i x="2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E2E96EF-B56B-40D6-B600-744CB93F3760}" cache="Slicer_Region" caption="Region" style="SlicerStyleOther2" rowHeight="234950"/>
  <slicer name="Total_Amount" xr10:uid="{6D7D5F76-DA61-4D2E-A654-02FDEC35837C}" cache="Slicer_Total_Amount" caption="Total_Amount"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2BFA4B4-0D5F-4D18-A89D-F00E98C1724C}" cache="Slicer_Region" caption="Region" style="SlicerStyleOther2" rowHeight="234950"/>
  <slicer name="Total_Amount 1" xr10:uid="{044634AD-6D75-43BB-B2E4-64C7783FB85F}" cache="Slicer_Total_Amount" caption="Total_Amount"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9EFC-3532-4230-8B1E-A571BD446800}">
  <dimension ref="A1:AF494"/>
  <sheetViews>
    <sheetView zoomScale="85" zoomScaleNormal="85" workbookViewId="0">
      <selection activeCell="D1" sqref="A1:N251"/>
    </sheetView>
  </sheetViews>
  <sheetFormatPr defaultRowHeight="14.4"/>
  <cols>
    <col min="2" max="2" width="10.33203125" bestFit="1" customWidth="1"/>
    <col min="13" max="13" width="10.33203125" bestFit="1" customWidth="1"/>
  </cols>
  <sheetData>
    <row r="1" spans="1:30" ht="43.8" thickBot="1">
      <c r="A1" s="2" t="s">
        <v>0</v>
      </c>
      <c r="B1" s="2" t="s">
        <v>1</v>
      </c>
      <c r="C1" s="2" t="s">
        <v>2</v>
      </c>
      <c r="D1" s="2" t="s">
        <v>3</v>
      </c>
      <c r="E1" s="2" t="s">
        <v>4</v>
      </c>
      <c r="F1" s="2" t="s">
        <v>5</v>
      </c>
      <c r="G1" s="2" t="s">
        <v>6</v>
      </c>
      <c r="H1" s="2" t="s">
        <v>7</v>
      </c>
      <c r="I1" s="2" t="s">
        <v>8</v>
      </c>
      <c r="J1" s="2" t="s">
        <v>9</v>
      </c>
      <c r="K1" s="2" t="s">
        <v>10</v>
      </c>
      <c r="L1" s="2" t="s">
        <v>11</v>
      </c>
      <c r="M1" s="2" t="s">
        <v>12</v>
      </c>
      <c r="N1" s="2" t="s">
        <v>13</v>
      </c>
    </row>
    <row r="2" spans="1:30" ht="29.4" thickBot="1">
      <c r="A2" s="1" t="s">
        <v>14</v>
      </c>
      <c r="B2" s="4">
        <v>45393</v>
      </c>
      <c r="C2" s="1" t="s">
        <v>15</v>
      </c>
      <c r="D2" s="1" t="s">
        <v>16</v>
      </c>
      <c r="E2" s="1" t="s">
        <v>17</v>
      </c>
      <c r="F2" s="1" t="s">
        <v>18</v>
      </c>
      <c r="G2" s="1" t="s">
        <v>19</v>
      </c>
      <c r="H2" s="5">
        <v>3</v>
      </c>
      <c r="I2" s="5">
        <v>249.99</v>
      </c>
      <c r="J2" s="1" t="s">
        <v>20</v>
      </c>
      <c r="K2" s="1" t="s">
        <v>21</v>
      </c>
      <c r="L2" s="1" t="s">
        <v>22</v>
      </c>
      <c r="M2" s="4">
        <v>44425</v>
      </c>
      <c r="N2" s="5">
        <v>749.97</v>
      </c>
    </row>
    <row r="3" spans="1:30" ht="29.4" thickBot="1">
      <c r="A3" s="1" t="s">
        <v>23</v>
      </c>
      <c r="B3" s="4">
        <v>45396</v>
      </c>
      <c r="C3" s="1" t="s">
        <v>24</v>
      </c>
      <c r="D3" s="1" t="s">
        <v>25</v>
      </c>
      <c r="E3" s="1" t="s">
        <v>17</v>
      </c>
      <c r="F3" s="1" t="s">
        <v>18</v>
      </c>
      <c r="G3" s="1" t="s">
        <v>19</v>
      </c>
      <c r="H3" s="5">
        <v>3</v>
      </c>
      <c r="I3" s="5">
        <v>249.99</v>
      </c>
      <c r="J3" s="1" t="s">
        <v>26</v>
      </c>
      <c r="K3" s="1" t="s">
        <v>21</v>
      </c>
      <c r="L3" s="1" t="s">
        <v>27</v>
      </c>
      <c r="M3" s="4">
        <v>44575</v>
      </c>
      <c r="N3" s="5">
        <v>749.97</v>
      </c>
    </row>
    <row r="4" spans="1:30" ht="29.4" thickBot="1">
      <c r="A4" s="1" t="s">
        <v>28</v>
      </c>
      <c r="B4" s="4">
        <v>45399</v>
      </c>
      <c r="C4" s="1" t="s">
        <v>29</v>
      </c>
      <c r="D4" s="1" t="s">
        <v>30</v>
      </c>
      <c r="E4" s="1" t="s">
        <v>31</v>
      </c>
      <c r="F4" s="1" t="s">
        <v>32</v>
      </c>
      <c r="G4" s="1" t="s">
        <v>33</v>
      </c>
      <c r="H4" s="5">
        <v>3</v>
      </c>
      <c r="I4" s="5">
        <v>59.99</v>
      </c>
      <c r="J4" s="1" t="s">
        <v>34</v>
      </c>
      <c r="K4" s="1" t="s">
        <v>35</v>
      </c>
      <c r="L4" s="1" t="s">
        <v>36</v>
      </c>
      <c r="M4" s="4">
        <v>45262</v>
      </c>
      <c r="N4" s="5">
        <v>179.97</v>
      </c>
    </row>
    <row r="5" spans="1:30" ht="29.4" thickBot="1">
      <c r="A5" s="1" t="s">
        <v>37</v>
      </c>
      <c r="B5" s="4">
        <v>45400</v>
      </c>
      <c r="C5" s="1" t="s">
        <v>38</v>
      </c>
      <c r="D5" s="1" t="s">
        <v>39</v>
      </c>
      <c r="E5" s="1" t="s">
        <v>31</v>
      </c>
      <c r="F5" s="1" t="s">
        <v>32</v>
      </c>
      <c r="G5" s="1" t="s">
        <v>33</v>
      </c>
      <c r="H5" s="5">
        <v>3</v>
      </c>
      <c r="I5" s="5">
        <v>59.99</v>
      </c>
      <c r="J5" s="1" t="s">
        <v>20</v>
      </c>
      <c r="K5" s="1" t="s">
        <v>40</v>
      </c>
      <c r="L5" s="1" t="s">
        <v>27</v>
      </c>
      <c r="M5" s="4">
        <v>45114</v>
      </c>
      <c r="N5" s="5">
        <v>179.97</v>
      </c>
    </row>
    <row r="6" spans="1:30" ht="29.4" thickBot="1">
      <c r="A6" s="1" t="s">
        <v>41</v>
      </c>
      <c r="B6" s="4">
        <v>45400</v>
      </c>
      <c r="C6" s="1" t="s">
        <v>42</v>
      </c>
      <c r="D6" s="1" t="s">
        <v>43</v>
      </c>
      <c r="E6" s="1" t="s">
        <v>44</v>
      </c>
      <c r="F6" s="1" t="s">
        <v>45</v>
      </c>
      <c r="G6" s="1" t="s">
        <v>46</v>
      </c>
      <c r="H6" s="5">
        <v>5</v>
      </c>
      <c r="I6" s="5">
        <v>149.99</v>
      </c>
      <c r="J6" s="1" t="s">
        <v>26</v>
      </c>
      <c r="K6" s="1" t="s">
        <v>40</v>
      </c>
      <c r="L6" s="1" t="s">
        <v>27</v>
      </c>
      <c r="M6" s="4">
        <v>45295</v>
      </c>
      <c r="N6" s="5">
        <v>749.95</v>
      </c>
    </row>
    <row r="7" spans="1:30" ht="29.4" thickBot="1">
      <c r="A7" s="1" t="s">
        <v>47</v>
      </c>
      <c r="B7" s="4">
        <v>45403</v>
      </c>
      <c r="C7" s="1" t="s">
        <v>48</v>
      </c>
      <c r="D7" s="1" t="s">
        <v>49</v>
      </c>
      <c r="E7" s="1" t="s">
        <v>31</v>
      </c>
      <c r="F7" s="1" t="s">
        <v>32</v>
      </c>
      <c r="G7" s="1" t="s">
        <v>33</v>
      </c>
      <c r="H7" s="5">
        <v>2</v>
      </c>
      <c r="I7" s="5">
        <v>59.99</v>
      </c>
      <c r="J7" s="1" t="s">
        <v>20</v>
      </c>
      <c r="K7" s="1" t="s">
        <v>50</v>
      </c>
      <c r="L7" s="1" t="s">
        <v>36</v>
      </c>
      <c r="M7" s="4">
        <v>44746</v>
      </c>
      <c r="N7" s="5">
        <v>119.98</v>
      </c>
      <c r="Q7" s="2"/>
      <c r="R7" s="2"/>
      <c r="S7" s="2"/>
      <c r="T7" s="2"/>
      <c r="U7" s="2"/>
      <c r="V7" s="2"/>
      <c r="W7" s="2"/>
      <c r="X7" s="2"/>
      <c r="Y7" s="2"/>
      <c r="Z7" s="2"/>
      <c r="AA7" s="2"/>
      <c r="AB7" s="2"/>
      <c r="AC7" s="2"/>
      <c r="AD7" s="2"/>
    </row>
    <row r="8" spans="1:30" ht="29.4" thickBot="1">
      <c r="A8" s="1" t="s">
        <v>51</v>
      </c>
      <c r="B8" s="4">
        <v>45403</v>
      </c>
      <c r="C8" s="1" t="s">
        <v>48</v>
      </c>
      <c r="D8" s="1" t="s">
        <v>49</v>
      </c>
      <c r="E8" s="1" t="s">
        <v>52</v>
      </c>
      <c r="F8" s="1" t="s">
        <v>53</v>
      </c>
      <c r="G8" s="1" t="s">
        <v>19</v>
      </c>
      <c r="H8" s="5">
        <v>5</v>
      </c>
      <c r="I8" s="5">
        <v>149.99</v>
      </c>
      <c r="J8" s="1" t="s">
        <v>26</v>
      </c>
      <c r="K8" s="1" t="s">
        <v>21</v>
      </c>
      <c r="L8" s="1" t="s">
        <v>36</v>
      </c>
      <c r="M8" s="4">
        <v>44418</v>
      </c>
      <c r="N8" s="5">
        <v>749.95</v>
      </c>
      <c r="Q8" s="1"/>
      <c r="R8" s="4"/>
      <c r="S8" s="1"/>
      <c r="T8" s="1"/>
      <c r="U8" s="1"/>
      <c r="V8" s="1"/>
      <c r="W8" s="1"/>
      <c r="X8" s="5"/>
      <c r="Y8" s="5"/>
      <c r="Z8" s="1"/>
      <c r="AA8" s="1"/>
      <c r="AB8" s="1"/>
      <c r="AC8" s="4"/>
      <c r="AD8" s="5"/>
    </row>
    <row r="9" spans="1:30" ht="29.4" thickBot="1">
      <c r="A9" s="1" t="s">
        <v>54</v>
      </c>
      <c r="B9" s="4">
        <v>45403</v>
      </c>
      <c r="C9" s="1" t="s">
        <v>55</v>
      </c>
      <c r="D9" s="1" t="s">
        <v>56</v>
      </c>
      <c r="E9" s="1" t="s">
        <v>31</v>
      </c>
      <c r="F9" s="1" t="s">
        <v>32</v>
      </c>
      <c r="G9" s="1" t="s">
        <v>33</v>
      </c>
      <c r="H9" s="5">
        <v>3</v>
      </c>
      <c r="I9" s="5">
        <v>59.99</v>
      </c>
      <c r="J9" s="1" t="s">
        <v>57</v>
      </c>
      <c r="K9" s="1" t="s">
        <v>35</v>
      </c>
      <c r="L9" s="1" t="s">
        <v>22</v>
      </c>
      <c r="M9" s="4">
        <v>45007</v>
      </c>
      <c r="N9" s="5">
        <v>179.97</v>
      </c>
      <c r="Q9" s="1"/>
      <c r="R9" s="4"/>
      <c r="S9" s="1"/>
      <c r="T9" s="1"/>
      <c r="U9" s="1"/>
      <c r="V9" s="1"/>
      <c r="W9" s="1"/>
      <c r="X9" s="5"/>
      <c r="Y9" s="5"/>
      <c r="Z9" s="1"/>
      <c r="AA9" s="1"/>
      <c r="AB9" s="1"/>
      <c r="AC9" s="4"/>
      <c r="AD9" s="5"/>
    </row>
    <row r="10" spans="1:30" ht="29.4" thickBot="1">
      <c r="A10" s="1" t="s">
        <v>58</v>
      </c>
      <c r="B10" s="4">
        <v>45405</v>
      </c>
      <c r="C10" s="1" t="s">
        <v>59</v>
      </c>
      <c r="D10" s="1" t="s">
        <v>60</v>
      </c>
      <c r="E10" s="1" t="s">
        <v>61</v>
      </c>
      <c r="F10" s="1" t="s">
        <v>62</v>
      </c>
      <c r="G10" s="1" t="s">
        <v>19</v>
      </c>
      <c r="H10" s="5">
        <v>3</v>
      </c>
      <c r="I10" s="5">
        <v>899.99</v>
      </c>
      <c r="J10" s="1" t="s">
        <v>34</v>
      </c>
      <c r="K10" s="1" t="s">
        <v>63</v>
      </c>
      <c r="L10" s="1" t="s">
        <v>36</v>
      </c>
      <c r="M10" s="4">
        <v>45299</v>
      </c>
      <c r="N10" s="5">
        <v>2699.97</v>
      </c>
      <c r="Q10" s="1"/>
      <c r="R10" s="4"/>
      <c r="S10" s="1"/>
      <c r="T10" s="1"/>
      <c r="U10" s="1"/>
      <c r="V10" s="1"/>
      <c r="W10" s="1"/>
      <c r="X10" s="5"/>
      <c r="Y10" s="5"/>
      <c r="Z10" s="1"/>
      <c r="AA10" s="1"/>
      <c r="AB10" s="1"/>
      <c r="AC10" s="4"/>
      <c r="AD10" s="5"/>
    </row>
    <row r="11" spans="1:30" ht="29.4" thickBot="1">
      <c r="A11" s="1" t="s">
        <v>64</v>
      </c>
      <c r="B11" s="4">
        <v>45408</v>
      </c>
      <c r="C11" s="1" t="s">
        <v>65</v>
      </c>
      <c r="D11" s="1" t="s">
        <v>66</v>
      </c>
      <c r="E11" s="1" t="s">
        <v>31</v>
      </c>
      <c r="F11" s="1" t="s">
        <v>32</v>
      </c>
      <c r="G11" s="1" t="s">
        <v>33</v>
      </c>
      <c r="H11" s="5">
        <v>3</v>
      </c>
      <c r="I11" s="5">
        <v>59.99</v>
      </c>
      <c r="J11" s="1" t="s">
        <v>20</v>
      </c>
      <c r="K11" s="1" t="s">
        <v>50</v>
      </c>
      <c r="L11" s="1" t="s">
        <v>27</v>
      </c>
      <c r="M11" s="4">
        <v>45207</v>
      </c>
      <c r="N11" s="5">
        <v>179.97</v>
      </c>
      <c r="Q11" s="1"/>
      <c r="R11" s="4"/>
      <c r="S11" s="1"/>
      <c r="T11" s="1"/>
      <c r="U11" s="1"/>
      <c r="V11" s="1"/>
      <c r="W11" s="1"/>
      <c r="X11" s="5"/>
      <c r="Y11" s="5"/>
      <c r="Z11" s="1"/>
      <c r="AA11" s="1"/>
      <c r="AB11" s="1"/>
      <c r="AC11" s="4"/>
      <c r="AD11" s="5"/>
    </row>
    <row r="12" spans="1:30" ht="29.4" thickBot="1">
      <c r="A12" s="1" t="s">
        <v>67</v>
      </c>
      <c r="B12" s="4">
        <v>45408</v>
      </c>
      <c r="C12" s="1" t="s">
        <v>68</v>
      </c>
      <c r="D12" s="1" t="s">
        <v>69</v>
      </c>
      <c r="E12" s="1" t="s">
        <v>44</v>
      </c>
      <c r="F12" s="1" t="s">
        <v>45</v>
      </c>
      <c r="G12" s="1" t="s">
        <v>46</v>
      </c>
      <c r="H12" s="5">
        <v>1</v>
      </c>
      <c r="I12" s="5">
        <v>149.99</v>
      </c>
      <c r="J12" s="1" t="s">
        <v>26</v>
      </c>
      <c r="K12" s="1" t="s">
        <v>50</v>
      </c>
      <c r="L12" s="1" t="s">
        <v>36</v>
      </c>
      <c r="M12" s="4">
        <v>45103</v>
      </c>
      <c r="N12" s="5">
        <v>149.99</v>
      </c>
      <c r="Q12" s="1"/>
      <c r="R12" s="4"/>
      <c r="S12" s="1"/>
      <c r="T12" s="1"/>
      <c r="U12" s="1"/>
      <c r="V12" s="1"/>
      <c r="W12" s="1"/>
      <c r="X12" s="5"/>
      <c r="Y12" s="5"/>
      <c r="Z12" s="1"/>
      <c r="AA12" s="1"/>
      <c r="AB12" s="1"/>
      <c r="AC12" s="4"/>
      <c r="AD12" s="5"/>
    </row>
    <row r="13" spans="1:30" ht="29.4" thickBot="1">
      <c r="A13" s="1" t="s">
        <v>70</v>
      </c>
      <c r="B13" s="4">
        <v>45408</v>
      </c>
      <c r="C13" s="1" t="s">
        <v>38</v>
      </c>
      <c r="D13" s="1" t="s">
        <v>39</v>
      </c>
      <c r="E13" s="1" t="s">
        <v>44</v>
      </c>
      <c r="F13" s="1" t="s">
        <v>45</v>
      </c>
      <c r="G13" s="1" t="s">
        <v>46</v>
      </c>
      <c r="H13" s="5">
        <v>5</v>
      </c>
      <c r="I13" s="5">
        <v>149.99</v>
      </c>
      <c r="J13" s="1" t="s">
        <v>57</v>
      </c>
      <c r="K13" s="1" t="s">
        <v>40</v>
      </c>
      <c r="L13" s="1" t="s">
        <v>22</v>
      </c>
      <c r="M13" s="4">
        <v>44830</v>
      </c>
      <c r="N13" s="5">
        <v>749.95</v>
      </c>
      <c r="Q13" s="1"/>
      <c r="R13" s="4"/>
      <c r="S13" s="1"/>
      <c r="T13" s="1"/>
      <c r="U13" s="1"/>
      <c r="V13" s="1"/>
      <c r="W13" s="1"/>
      <c r="X13" s="5"/>
      <c r="Y13" s="5"/>
      <c r="Z13" s="1"/>
      <c r="AA13" s="1"/>
      <c r="AB13" s="1"/>
      <c r="AC13" s="4"/>
      <c r="AD13" s="5"/>
    </row>
    <row r="14" spans="1:30" ht="43.8" thickBot="1">
      <c r="A14" s="1" t="s">
        <v>71</v>
      </c>
      <c r="B14" s="4">
        <v>45408</v>
      </c>
      <c r="C14" s="1" t="s">
        <v>72</v>
      </c>
      <c r="D14" s="1" t="s">
        <v>73</v>
      </c>
      <c r="E14" s="1" t="s">
        <v>44</v>
      </c>
      <c r="F14" s="1" t="s">
        <v>45</v>
      </c>
      <c r="G14" s="1" t="s">
        <v>46</v>
      </c>
      <c r="H14" s="5">
        <v>3</v>
      </c>
      <c r="I14" s="5">
        <v>149.99</v>
      </c>
      <c r="J14" s="1" t="s">
        <v>20</v>
      </c>
      <c r="K14" s="1" t="s">
        <v>40</v>
      </c>
      <c r="L14" s="1" t="s">
        <v>27</v>
      </c>
      <c r="M14" s="4">
        <v>44806</v>
      </c>
      <c r="N14" s="5">
        <v>449.97</v>
      </c>
      <c r="Q14" s="1"/>
      <c r="R14" s="4"/>
      <c r="S14" s="1"/>
      <c r="T14" s="1"/>
      <c r="U14" s="1"/>
      <c r="V14" s="1"/>
      <c r="W14" s="1"/>
      <c r="X14" s="5"/>
      <c r="Y14" s="5"/>
      <c r="Z14" s="1"/>
      <c r="AA14" s="1"/>
      <c r="AB14" s="1"/>
      <c r="AC14" s="4"/>
      <c r="AD14" s="5"/>
    </row>
    <row r="15" spans="1:30" ht="29.4" thickBot="1">
      <c r="A15" s="1" t="s">
        <v>74</v>
      </c>
      <c r="B15" s="4">
        <v>45409</v>
      </c>
      <c r="C15" s="1" t="s">
        <v>75</v>
      </c>
      <c r="D15" s="1" t="s">
        <v>76</v>
      </c>
      <c r="E15" s="1" t="s">
        <v>31</v>
      </c>
      <c r="F15" s="1" t="s">
        <v>32</v>
      </c>
      <c r="G15" s="1" t="s">
        <v>33</v>
      </c>
      <c r="H15" s="5">
        <v>3</v>
      </c>
      <c r="I15" s="5">
        <v>59.99</v>
      </c>
      <c r="J15" s="1" t="s">
        <v>26</v>
      </c>
      <c r="K15" s="1" t="s">
        <v>40</v>
      </c>
      <c r="L15" s="1" t="s">
        <v>36</v>
      </c>
      <c r="M15" s="4">
        <v>45351</v>
      </c>
      <c r="N15" s="5">
        <v>179.97</v>
      </c>
      <c r="Q15" s="1"/>
      <c r="R15" s="4"/>
      <c r="S15" s="1"/>
      <c r="T15" s="1"/>
      <c r="U15" s="1"/>
      <c r="V15" s="1"/>
      <c r="W15" s="1"/>
      <c r="X15" s="5"/>
      <c r="Y15" s="5"/>
      <c r="Z15" s="1"/>
      <c r="AA15" s="1"/>
      <c r="AB15" s="1"/>
      <c r="AC15" s="4"/>
      <c r="AD15" s="5"/>
    </row>
    <row r="16" spans="1:30" ht="29.4" thickBot="1">
      <c r="A16" s="1" t="s">
        <v>77</v>
      </c>
      <c r="B16" s="4">
        <v>45409</v>
      </c>
      <c r="C16" s="1" t="s">
        <v>78</v>
      </c>
      <c r="D16" s="1" t="s">
        <v>79</v>
      </c>
      <c r="E16" s="1" t="s">
        <v>80</v>
      </c>
      <c r="F16" s="1" t="s">
        <v>81</v>
      </c>
      <c r="G16" s="1" t="s">
        <v>19</v>
      </c>
      <c r="H16" s="5">
        <v>3</v>
      </c>
      <c r="I16" s="5">
        <v>699.99</v>
      </c>
      <c r="J16" s="1" t="s">
        <v>26</v>
      </c>
      <c r="K16" s="1" t="s">
        <v>50</v>
      </c>
      <c r="L16" s="1" t="s">
        <v>22</v>
      </c>
      <c r="M16" s="4">
        <v>44577</v>
      </c>
      <c r="N16" s="5">
        <v>2099.9699999999998</v>
      </c>
      <c r="Q16" s="1"/>
      <c r="R16" s="4"/>
      <c r="S16" s="1"/>
      <c r="T16" s="1"/>
      <c r="U16" s="1"/>
      <c r="V16" s="1"/>
      <c r="W16" s="1"/>
      <c r="X16" s="5"/>
      <c r="Y16" s="5"/>
      <c r="Z16" s="1"/>
      <c r="AA16" s="1"/>
      <c r="AB16" s="1"/>
      <c r="AC16" s="4"/>
      <c r="AD16" s="5"/>
    </row>
    <row r="17" spans="1:30" ht="29.4" thickBot="1">
      <c r="A17" s="1" t="s">
        <v>82</v>
      </c>
      <c r="B17" s="4">
        <v>45409</v>
      </c>
      <c r="C17" s="1" t="s">
        <v>83</v>
      </c>
      <c r="D17" s="1" t="s">
        <v>84</v>
      </c>
      <c r="E17" s="1" t="s">
        <v>61</v>
      </c>
      <c r="F17" s="1" t="s">
        <v>62</v>
      </c>
      <c r="G17" s="1" t="s">
        <v>19</v>
      </c>
      <c r="H17" s="5">
        <v>1</v>
      </c>
      <c r="I17" s="5">
        <v>899.99</v>
      </c>
      <c r="J17" s="1" t="s">
        <v>57</v>
      </c>
      <c r="K17" s="1" t="s">
        <v>40</v>
      </c>
      <c r="L17" s="1" t="s">
        <v>36</v>
      </c>
      <c r="M17" s="4">
        <v>44920</v>
      </c>
      <c r="N17" s="5">
        <v>899.99</v>
      </c>
      <c r="Q17" s="1"/>
      <c r="R17" s="4"/>
      <c r="S17" s="1"/>
      <c r="T17" s="1"/>
      <c r="U17" s="1"/>
      <c r="V17" s="1"/>
      <c r="W17" s="1"/>
      <c r="X17" s="5"/>
      <c r="Y17" s="5"/>
      <c r="Z17" s="1"/>
      <c r="AA17" s="1"/>
      <c r="AB17" s="1"/>
      <c r="AC17" s="4"/>
      <c r="AD17" s="5"/>
    </row>
    <row r="18" spans="1:30" ht="29.4" thickBot="1">
      <c r="A18" s="1" t="s">
        <v>85</v>
      </c>
      <c r="B18" s="4">
        <v>45410</v>
      </c>
      <c r="C18" s="1" t="s">
        <v>86</v>
      </c>
      <c r="D18" s="1" t="s">
        <v>87</v>
      </c>
      <c r="E18" s="1" t="s">
        <v>44</v>
      </c>
      <c r="F18" s="1" t="s">
        <v>45</v>
      </c>
      <c r="G18" s="1" t="s">
        <v>46</v>
      </c>
      <c r="H18" s="5">
        <v>4</v>
      </c>
      <c r="I18" s="5">
        <v>149.99</v>
      </c>
      <c r="J18" s="1" t="s">
        <v>57</v>
      </c>
      <c r="K18" s="1" t="s">
        <v>40</v>
      </c>
      <c r="L18" s="1" t="s">
        <v>27</v>
      </c>
      <c r="M18" s="4">
        <v>45374</v>
      </c>
      <c r="N18" s="5">
        <v>599.96</v>
      </c>
      <c r="Q18" s="1"/>
      <c r="R18" s="4"/>
      <c r="S18" s="1"/>
      <c r="T18" s="1"/>
      <c r="U18" s="1"/>
      <c r="V18" s="1"/>
      <c r="W18" s="1"/>
      <c r="X18" s="5"/>
      <c r="Y18" s="5"/>
      <c r="Z18" s="1"/>
      <c r="AA18" s="1"/>
      <c r="AB18" s="1"/>
      <c r="AC18" s="4"/>
      <c r="AD18" s="5"/>
    </row>
    <row r="19" spans="1:30" ht="29.4" thickBot="1">
      <c r="A19" s="1" t="s">
        <v>88</v>
      </c>
      <c r="B19" s="4">
        <v>45410</v>
      </c>
      <c r="C19" s="1" t="s">
        <v>89</v>
      </c>
      <c r="D19" s="1" t="s">
        <v>90</v>
      </c>
      <c r="E19" s="1" t="s">
        <v>80</v>
      </c>
      <c r="F19" s="1" t="s">
        <v>81</v>
      </c>
      <c r="G19" s="1" t="s">
        <v>19</v>
      </c>
      <c r="H19" s="5">
        <v>2</v>
      </c>
      <c r="I19" s="5">
        <v>699.99</v>
      </c>
      <c r="J19" s="1" t="s">
        <v>20</v>
      </c>
      <c r="K19" s="1" t="s">
        <v>40</v>
      </c>
      <c r="L19" s="1" t="s">
        <v>22</v>
      </c>
      <c r="M19" s="4">
        <v>44781</v>
      </c>
      <c r="N19" s="5">
        <v>1399.98</v>
      </c>
      <c r="Q19" s="1"/>
      <c r="R19" s="4"/>
      <c r="S19" s="1"/>
      <c r="T19" s="1"/>
      <c r="U19" s="1"/>
      <c r="V19" s="1"/>
      <c r="W19" s="1"/>
      <c r="X19" s="5"/>
      <c r="Y19" s="5"/>
      <c r="Z19" s="1"/>
      <c r="AA19" s="1"/>
      <c r="AB19" s="1"/>
      <c r="AC19" s="4"/>
      <c r="AD19" s="5"/>
    </row>
    <row r="20" spans="1:30" ht="29.4" thickBot="1">
      <c r="A20" s="1" t="s">
        <v>91</v>
      </c>
      <c r="B20" s="4">
        <v>45410</v>
      </c>
      <c r="C20" s="1" t="s">
        <v>86</v>
      </c>
      <c r="D20" s="1" t="s">
        <v>87</v>
      </c>
      <c r="E20" s="1" t="s">
        <v>61</v>
      </c>
      <c r="F20" s="1" t="s">
        <v>62</v>
      </c>
      <c r="G20" s="1" t="s">
        <v>19</v>
      </c>
      <c r="H20" s="5">
        <v>4</v>
      </c>
      <c r="I20" s="5">
        <v>899.99</v>
      </c>
      <c r="J20" s="1" t="s">
        <v>26</v>
      </c>
      <c r="K20" s="1" t="s">
        <v>50</v>
      </c>
      <c r="L20" s="1" t="s">
        <v>36</v>
      </c>
      <c r="M20" s="4">
        <v>45327</v>
      </c>
      <c r="N20" s="5">
        <v>3599.96</v>
      </c>
      <c r="Q20" s="1"/>
      <c r="R20" s="4"/>
      <c r="S20" s="1"/>
      <c r="T20" s="1"/>
      <c r="U20" s="1"/>
      <c r="V20" s="1"/>
      <c r="W20" s="1"/>
      <c r="X20" s="5"/>
      <c r="Y20" s="5"/>
      <c r="Z20" s="1"/>
      <c r="AA20" s="1"/>
      <c r="AB20" s="1"/>
      <c r="AC20" s="4"/>
      <c r="AD20" s="5"/>
    </row>
    <row r="21" spans="1:30" ht="29.4" thickBot="1">
      <c r="A21" s="1" t="s">
        <v>92</v>
      </c>
      <c r="B21" s="4">
        <v>45410</v>
      </c>
      <c r="C21" s="1" t="s">
        <v>93</v>
      </c>
      <c r="D21" s="1" t="s">
        <v>94</v>
      </c>
      <c r="E21" s="1" t="s">
        <v>17</v>
      </c>
      <c r="F21" s="1" t="s">
        <v>18</v>
      </c>
      <c r="G21" s="1" t="s">
        <v>19</v>
      </c>
      <c r="H21" s="5">
        <v>3</v>
      </c>
      <c r="I21" s="5">
        <v>249.99</v>
      </c>
      <c r="J21" s="1" t="s">
        <v>26</v>
      </c>
      <c r="K21" s="1" t="s">
        <v>40</v>
      </c>
      <c r="L21" s="1" t="s">
        <v>27</v>
      </c>
      <c r="M21" s="4">
        <v>45224</v>
      </c>
      <c r="N21" s="5">
        <v>749.97</v>
      </c>
      <c r="Q21" s="1"/>
      <c r="R21" s="4"/>
      <c r="S21" s="1"/>
      <c r="T21" s="1"/>
      <c r="U21" s="1"/>
      <c r="V21" s="1"/>
      <c r="W21" s="1"/>
      <c r="X21" s="5"/>
      <c r="Y21" s="5"/>
      <c r="Z21" s="1"/>
      <c r="AA21" s="1"/>
      <c r="AB21" s="1"/>
      <c r="AC21" s="4"/>
      <c r="AD21" s="5"/>
    </row>
    <row r="22" spans="1:30" ht="29.4" thickBot="1">
      <c r="A22" s="1" t="s">
        <v>95</v>
      </c>
      <c r="B22" s="4">
        <v>45412</v>
      </c>
      <c r="C22" s="1" t="s">
        <v>96</v>
      </c>
      <c r="D22" s="1" t="s">
        <v>97</v>
      </c>
      <c r="E22" s="1" t="s">
        <v>80</v>
      </c>
      <c r="F22" s="1" t="s">
        <v>81</v>
      </c>
      <c r="G22" s="1" t="s">
        <v>19</v>
      </c>
      <c r="H22" s="5">
        <v>5</v>
      </c>
      <c r="I22" s="5">
        <v>699.99</v>
      </c>
      <c r="J22" s="1" t="s">
        <v>20</v>
      </c>
      <c r="K22" s="1" t="s">
        <v>50</v>
      </c>
      <c r="L22" s="1" t="s">
        <v>22</v>
      </c>
      <c r="M22" s="4">
        <v>45167</v>
      </c>
      <c r="N22" s="5">
        <v>3499.95</v>
      </c>
      <c r="Q22" s="1"/>
      <c r="R22" s="4"/>
      <c r="S22" s="1"/>
      <c r="T22" s="1"/>
      <c r="U22" s="1"/>
      <c r="V22" s="1"/>
      <c r="W22" s="1"/>
      <c r="X22" s="5"/>
      <c r="Y22" s="5"/>
      <c r="Z22" s="1"/>
      <c r="AA22" s="1"/>
      <c r="AB22" s="1"/>
      <c r="AC22" s="4"/>
      <c r="AD22" s="5"/>
    </row>
    <row r="23" spans="1:30" ht="29.4" thickBot="1">
      <c r="A23" s="1" t="s">
        <v>98</v>
      </c>
      <c r="B23" s="4">
        <v>45413</v>
      </c>
      <c r="C23" s="1" t="s">
        <v>99</v>
      </c>
      <c r="D23" s="1" t="s">
        <v>100</v>
      </c>
      <c r="E23" s="1" t="s">
        <v>80</v>
      </c>
      <c r="F23" s="1" t="s">
        <v>81</v>
      </c>
      <c r="G23" s="1" t="s">
        <v>19</v>
      </c>
      <c r="H23" s="5">
        <v>4</v>
      </c>
      <c r="I23" s="5">
        <v>699.99</v>
      </c>
      <c r="J23" s="1" t="s">
        <v>20</v>
      </c>
      <c r="K23" s="1" t="s">
        <v>63</v>
      </c>
      <c r="L23" s="1" t="s">
        <v>36</v>
      </c>
      <c r="M23" s="4">
        <v>44409</v>
      </c>
      <c r="N23" s="5">
        <v>2799.96</v>
      </c>
      <c r="Q23" s="1"/>
      <c r="R23" s="4"/>
      <c r="S23" s="1"/>
      <c r="T23" s="1"/>
      <c r="U23" s="1"/>
      <c r="V23" s="1"/>
      <c r="W23" s="1"/>
      <c r="X23" s="5"/>
      <c r="Y23" s="5"/>
      <c r="Z23" s="1"/>
      <c r="AA23" s="1"/>
      <c r="AB23" s="1"/>
      <c r="AC23" s="4"/>
      <c r="AD23" s="5"/>
    </row>
    <row r="24" spans="1:30" ht="29.4" thickBot="1">
      <c r="A24" s="1" t="s">
        <v>101</v>
      </c>
      <c r="B24" s="4">
        <v>45415</v>
      </c>
      <c r="C24" s="1" t="s">
        <v>102</v>
      </c>
      <c r="D24" s="1" t="s">
        <v>103</v>
      </c>
      <c r="E24" s="1" t="s">
        <v>17</v>
      </c>
      <c r="F24" s="1" t="s">
        <v>18</v>
      </c>
      <c r="G24" s="1" t="s">
        <v>19</v>
      </c>
      <c r="H24" s="5">
        <v>4</v>
      </c>
      <c r="I24" s="5">
        <v>249.99</v>
      </c>
      <c r="J24" s="1" t="s">
        <v>34</v>
      </c>
      <c r="K24" s="1" t="s">
        <v>40</v>
      </c>
      <c r="L24" s="1" t="s">
        <v>36</v>
      </c>
      <c r="M24" s="4">
        <v>44468</v>
      </c>
      <c r="N24" s="5">
        <v>999.96</v>
      </c>
      <c r="Q24" s="1"/>
      <c r="R24" s="4"/>
      <c r="S24" s="1"/>
      <c r="T24" s="1"/>
      <c r="U24" s="1"/>
      <c r="V24" s="1"/>
      <c r="W24" s="1"/>
      <c r="X24" s="5"/>
      <c r="Y24" s="5"/>
      <c r="Z24" s="1"/>
      <c r="AA24" s="1"/>
      <c r="AB24" s="1"/>
      <c r="AC24" s="4"/>
      <c r="AD24" s="5"/>
    </row>
    <row r="25" spans="1:30" ht="29.4" thickBot="1">
      <c r="A25" s="1" t="s">
        <v>104</v>
      </c>
      <c r="B25" s="4">
        <v>45416</v>
      </c>
      <c r="C25" s="1" t="s">
        <v>86</v>
      </c>
      <c r="D25" s="1" t="s">
        <v>87</v>
      </c>
      <c r="E25" s="1" t="s">
        <v>105</v>
      </c>
      <c r="F25" s="1" t="s">
        <v>106</v>
      </c>
      <c r="G25" s="1" t="s">
        <v>46</v>
      </c>
      <c r="H25" s="5">
        <v>4</v>
      </c>
      <c r="I25" s="5">
        <v>299.99</v>
      </c>
      <c r="J25" s="1" t="s">
        <v>20</v>
      </c>
      <c r="K25" s="1" t="s">
        <v>50</v>
      </c>
      <c r="L25" s="1" t="s">
        <v>27</v>
      </c>
      <c r="M25" s="4">
        <v>44716</v>
      </c>
      <c r="N25" s="5">
        <v>1199.96</v>
      </c>
      <c r="Q25" s="1"/>
      <c r="R25" s="4"/>
      <c r="S25" s="1"/>
      <c r="T25" s="1"/>
      <c r="U25" s="1"/>
      <c r="V25" s="1"/>
      <c r="W25" s="1"/>
      <c r="X25" s="5"/>
      <c r="Y25" s="5"/>
      <c r="Z25" s="1"/>
      <c r="AA25" s="1"/>
      <c r="AB25" s="1"/>
      <c r="AC25" s="4"/>
      <c r="AD25" s="5"/>
    </row>
    <row r="26" spans="1:30" ht="29.4" thickBot="1">
      <c r="A26" s="1" t="s">
        <v>107</v>
      </c>
      <c r="B26" s="4">
        <v>45422</v>
      </c>
      <c r="C26" s="1" t="s">
        <v>108</v>
      </c>
      <c r="D26" s="1" t="s">
        <v>109</v>
      </c>
      <c r="E26" s="1" t="s">
        <v>17</v>
      </c>
      <c r="F26" s="1" t="s">
        <v>18</v>
      </c>
      <c r="G26" s="1" t="s">
        <v>19</v>
      </c>
      <c r="H26" s="5">
        <v>5</v>
      </c>
      <c r="I26" s="5">
        <v>249.99</v>
      </c>
      <c r="J26" s="1" t="s">
        <v>26</v>
      </c>
      <c r="K26" s="1" t="s">
        <v>50</v>
      </c>
      <c r="L26" s="1" t="s">
        <v>36</v>
      </c>
      <c r="M26" s="4">
        <v>44525</v>
      </c>
      <c r="N26" s="5">
        <v>1249.95</v>
      </c>
      <c r="Q26" s="1"/>
      <c r="R26" s="4"/>
      <c r="S26" s="1"/>
      <c r="T26" s="1"/>
      <c r="U26" s="1"/>
      <c r="V26" s="1"/>
      <c r="W26" s="1"/>
      <c r="X26" s="5"/>
      <c r="Y26" s="5"/>
      <c r="Z26" s="1"/>
      <c r="AA26" s="1"/>
      <c r="AB26" s="1"/>
      <c r="AC26" s="4"/>
      <c r="AD26" s="5"/>
    </row>
    <row r="27" spans="1:30" ht="29.4" thickBot="1">
      <c r="A27" s="1" t="s">
        <v>110</v>
      </c>
      <c r="B27" s="4">
        <v>45424</v>
      </c>
      <c r="C27" s="1" t="s">
        <v>68</v>
      </c>
      <c r="D27" s="1" t="s">
        <v>69</v>
      </c>
      <c r="E27" s="1" t="s">
        <v>105</v>
      </c>
      <c r="F27" s="1" t="s">
        <v>106</v>
      </c>
      <c r="G27" s="1" t="s">
        <v>46</v>
      </c>
      <c r="H27" s="5">
        <v>5</v>
      </c>
      <c r="I27" s="5">
        <v>299.99</v>
      </c>
      <c r="J27" s="1" t="s">
        <v>34</v>
      </c>
      <c r="K27" s="1" t="s">
        <v>63</v>
      </c>
      <c r="L27" s="1" t="s">
        <v>22</v>
      </c>
      <c r="M27" s="4">
        <v>45168</v>
      </c>
      <c r="N27" s="5">
        <v>1499.95</v>
      </c>
      <c r="Q27" s="1"/>
      <c r="R27" s="4"/>
      <c r="S27" s="1"/>
      <c r="T27" s="1"/>
      <c r="U27" s="1"/>
      <c r="V27" s="1"/>
      <c r="W27" s="1"/>
      <c r="X27" s="5"/>
      <c r="Y27" s="5"/>
      <c r="Z27" s="1"/>
      <c r="AA27" s="1"/>
      <c r="AB27" s="1"/>
      <c r="AC27" s="4"/>
      <c r="AD27" s="5"/>
    </row>
    <row r="28" spans="1:30" ht="29.4" thickBot="1">
      <c r="A28" s="1" t="s">
        <v>111</v>
      </c>
      <c r="B28" s="4">
        <v>45424</v>
      </c>
      <c r="C28" s="1" t="s">
        <v>112</v>
      </c>
      <c r="D28" s="1" t="s">
        <v>113</v>
      </c>
      <c r="E28" s="1" t="s">
        <v>114</v>
      </c>
      <c r="F28" s="1" t="s">
        <v>115</v>
      </c>
      <c r="G28" s="1" t="s">
        <v>33</v>
      </c>
      <c r="H28" s="5">
        <v>3</v>
      </c>
      <c r="I28" s="5">
        <v>79.989999999999995</v>
      </c>
      <c r="J28" s="1" t="s">
        <v>34</v>
      </c>
      <c r="K28" s="1" t="s">
        <v>63</v>
      </c>
      <c r="L28" s="1" t="s">
        <v>27</v>
      </c>
      <c r="M28" s="4">
        <v>45012</v>
      </c>
      <c r="N28" s="5">
        <v>239.97</v>
      </c>
      <c r="Q28" s="1"/>
      <c r="R28" s="4"/>
      <c r="S28" s="1"/>
      <c r="T28" s="1"/>
      <c r="U28" s="1"/>
      <c r="V28" s="1"/>
      <c r="W28" s="1"/>
      <c r="X28" s="5"/>
      <c r="Y28" s="5"/>
      <c r="Z28" s="1"/>
      <c r="AA28" s="1"/>
      <c r="AB28" s="1"/>
      <c r="AC28" s="4"/>
      <c r="AD28" s="5"/>
    </row>
    <row r="29" spans="1:30" ht="29.4" thickBot="1">
      <c r="A29" s="1" t="s">
        <v>116</v>
      </c>
      <c r="B29" s="4">
        <v>45424</v>
      </c>
      <c r="C29" s="1" t="s">
        <v>99</v>
      </c>
      <c r="D29" s="1" t="s">
        <v>100</v>
      </c>
      <c r="E29" s="1" t="s">
        <v>117</v>
      </c>
      <c r="F29" s="1" t="s">
        <v>118</v>
      </c>
      <c r="G29" s="1" t="s">
        <v>19</v>
      </c>
      <c r="H29" s="5">
        <v>5</v>
      </c>
      <c r="I29" s="5">
        <v>89.99</v>
      </c>
      <c r="J29" s="1" t="s">
        <v>20</v>
      </c>
      <c r="K29" s="1" t="s">
        <v>40</v>
      </c>
      <c r="L29" s="1" t="s">
        <v>27</v>
      </c>
      <c r="M29" s="4">
        <v>44919</v>
      </c>
      <c r="N29" s="5">
        <v>449.95</v>
      </c>
      <c r="Q29" s="1"/>
      <c r="R29" s="4"/>
      <c r="S29" s="1"/>
      <c r="T29" s="1"/>
      <c r="U29" s="1"/>
      <c r="V29" s="1"/>
      <c r="W29" s="1"/>
      <c r="X29" s="5"/>
      <c r="Y29" s="5"/>
      <c r="Z29" s="1"/>
      <c r="AA29" s="1"/>
      <c r="AB29" s="1"/>
      <c r="AC29" s="4"/>
      <c r="AD29" s="5"/>
    </row>
    <row r="30" spans="1:30" ht="29.4" thickBot="1">
      <c r="A30" s="1" t="s">
        <v>119</v>
      </c>
      <c r="B30" s="4">
        <v>45425</v>
      </c>
      <c r="C30" s="1" t="s">
        <v>120</v>
      </c>
      <c r="D30" s="1" t="s">
        <v>121</v>
      </c>
      <c r="E30" s="1" t="s">
        <v>31</v>
      </c>
      <c r="F30" s="1" t="s">
        <v>32</v>
      </c>
      <c r="G30" s="1" t="s">
        <v>33</v>
      </c>
      <c r="H30" s="5">
        <v>2</v>
      </c>
      <c r="I30" s="5">
        <v>59.99</v>
      </c>
      <c r="J30" s="1" t="s">
        <v>57</v>
      </c>
      <c r="K30" s="1" t="s">
        <v>21</v>
      </c>
      <c r="L30" s="1" t="s">
        <v>36</v>
      </c>
      <c r="M30" s="4">
        <v>45214</v>
      </c>
      <c r="N30" s="5">
        <v>119.98</v>
      </c>
      <c r="Q30" s="1"/>
      <c r="R30" s="4"/>
      <c r="S30" s="1"/>
      <c r="T30" s="1"/>
      <c r="U30" s="1"/>
      <c r="V30" s="1"/>
      <c r="W30" s="1"/>
      <c r="X30" s="5"/>
      <c r="Y30" s="5"/>
      <c r="Z30" s="1"/>
      <c r="AA30" s="1"/>
      <c r="AB30" s="1"/>
      <c r="AC30" s="4"/>
      <c r="AD30" s="5"/>
    </row>
    <row r="31" spans="1:30" ht="29.4" thickBot="1">
      <c r="A31" s="1" t="s">
        <v>122</v>
      </c>
      <c r="B31" s="4">
        <v>45427</v>
      </c>
      <c r="C31" s="1" t="s">
        <v>123</v>
      </c>
      <c r="D31" s="1" t="s">
        <v>124</v>
      </c>
      <c r="E31" s="1" t="s">
        <v>31</v>
      </c>
      <c r="F31" s="1" t="s">
        <v>32</v>
      </c>
      <c r="G31" s="1" t="s">
        <v>33</v>
      </c>
      <c r="H31" s="5">
        <v>4</v>
      </c>
      <c r="I31" s="5">
        <v>59.99</v>
      </c>
      <c r="J31" s="1" t="s">
        <v>57</v>
      </c>
      <c r="K31" s="1" t="s">
        <v>63</v>
      </c>
      <c r="L31" s="1" t="s">
        <v>36</v>
      </c>
      <c r="M31" s="4">
        <v>44867</v>
      </c>
      <c r="N31" s="5">
        <v>239.96</v>
      </c>
      <c r="Q31" s="1"/>
      <c r="R31" s="4"/>
      <c r="S31" s="1"/>
      <c r="T31" s="1"/>
      <c r="U31" s="1"/>
      <c r="V31" s="1"/>
      <c r="W31" s="1"/>
      <c r="X31" s="5"/>
      <c r="Y31" s="5"/>
      <c r="Z31" s="1"/>
      <c r="AA31" s="1"/>
      <c r="AB31" s="1"/>
      <c r="AC31" s="4"/>
      <c r="AD31" s="5"/>
    </row>
    <row r="32" spans="1:30" ht="29.4" thickBot="1">
      <c r="A32" s="1" t="s">
        <v>125</v>
      </c>
      <c r="B32" s="4">
        <v>45427</v>
      </c>
      <c r="C32" s="1" t="s">
        <v>55</v>
      </c>
      <c r="D32" s="1" t="s">
        <v>56</v>
      </c>
      <c r="E32" s="1" t="s">
        <v>126</v>
      </c>
      <c r="F32" s="1" t="s">
        <v>127</v>
      </c>
      <c r="G32" s="1" t="s">
        <v>46</v>
      </c>
      <c r="H32" s="5">
        <v>5</v>
      </c>
      <c r="I32" s="5">
        <v>199.99</v>
      </c>
      <c r="J32" s="1" t="s">
        <v>20</v>
      </c>
      <c r="K32" s="1" t="s">
        <v>35</v>
      </c>
      <c r="L32" s="1" t="s">
        <v>36</v>
      </c>
      <c r="M32" s="4">
        <v>44412</v>
      </c>
      <c r="N32" s="5">
        <v>999.95</v>
      </c>
      <c r="Q32" s="1"/>
      <c r="R32" s="4"/>
      <c r="S32" s="1"/>
      <c r="T32" s="1"/>
      <c r="U32" s="1"/>
      <c r="V32" s="1"/>
      <c r="W32" s="1"/>
      <c r="X32" s="5"/>
      <c r="Y32" s="5"/>
      <c r="Z32" s="1"/>
      <c r="AA32" s="1"/>
      <c r="AB32" s="1"/>
      <c r="AC32" s="4"/>
      <c r="AD32" s="5"/>
    </row>
    <row r="33" spans="1:30" ht="29.4" thickBot="1">
      <c r="A33" s="1" t="s">
        <v>128</v>
      </c>
      <c r="B33" s="4">
        <v>45428</v>
      </c>
      <c r="C33" s="1" t="s">
        <v>129</v>
      </c>
      <c r="D33" s="1" t="s">
        <v>130</v>
      </c>
      <c r="E33" s="1" t="s">
        <v>44</v>
      </c>
      <c r="F33" s="1" t="s">
        <v>45</v>
      </c>
      <c r="G33" s="1" t="s">
        <v>46</v>
      </c>
      <c r="H33" s="5">
        <v>2</v>
      </c>
      <c r="I33" s="5">
        <v>149.99</v>
      </c>
      <c r="J33" s="1" t="s">
        <v>26</v>
      </c>
      <c r="K33" s="1" t="s">
        <v>50</v>
      </c>
      <c r="L33" s="1" t="s">
        <v>22</v>
      </c>
      <c r="M33" s="4">
        <v>44823</v>
      </c>
      <c r="N33" s="5">
        <v>299.98</v>
      </c>
      <c r="Q33" s="1"/>
      <c r="R33" s="4"/>
      <c r="S33" s="1"/>
      <c r="T33" s="1"/>
      <c r="U33" s="1"/>
      <c r="V33" s="1"/>
      <c r="W33" s="1"/>
      <c r="X33" s="5"/>
      <c r="Y33" s="5"/>
      <c r="Z33" s="1"/>
      <c r="AA33" s="1"/>
      <c r="AB33" s="1"/>
      <c r="AC33" s="4"/>
      <c r="AD33" s="5"/>
    </row>
    <row r="34" spans="1:30" ht="29.4" thickBot="1">
      <c r="A34" s="1" t="s">
        <v>131</v>
      </c>
      <c r="B34" s="4">
        <v>45430</v>
      </c>
      <c r="C34" s="1" t="s">
        <v>132</v>
      </c>
      <c r="D34" s="1" t="s">
        <v>133</v>
      </c>
      <c r="E34" s="1" t="s">
        <v>44</v>
      </c>
      <c r="F34" s="1" t="s">
        <v>45</v>
      </c>
      <c r="G34" s="1" t="s">
        <v>46</v>
      </c>
      <c r="H34" s="5">
        <v>3</v>
      </c>
      <c r="I34" s="5">
        <v>149.99</v>
      </c>
      <c r="J34" s="1" t="s">
        <v>26</v>
      </c>
      <c r="K34" s="1" t="s">
        <v>50</v>
      </c>
      <c r="L34" s="1" t="s">
        <v>27</v>
      </c>
      <c r="M34" s="4">
        <v>45068</v>
      </c>
      <c r="N34" s="5">
        <v>449.97</v>
      </c>
      <c r="Q34" s="1"/>
      <c r="R34" s="4"/>
      <c r="S34" s="1"/>
      <c r="T34" s="1"/>
      <c r="U34" s="1"/>
      <c r="V34" s="1"/>
      <c r="W34" s="1"/>
      <c r="X34" s="5"/>
      <c r="Y34" s="5"/>
      <c r="Z34" s="1"/>
      <c r="AA34" s="1"/>
      <c r="AB34" s="1"/>
      <c r="AC34" s="4"/>
      <c r="AD34" s="5"/>
    </row>
    <row r="35" spans="1:30" ht="29.4" thickBot="1">
      <c r="A35" s="1" t="s">
        <v>134</v>
      </c>
      <c r="B35" s="4">
        <v>45432</v>
      </c>
      <c r="C35" s="1" t="s">
        <v>29</v>
      </c>
      <c r="D35" s="1" t="s">
        <v>30</v>
      </c>
      <c r="E35" s="1" t="s">
        <v>61</v>
      </c>
      <c r="F35" s="1" t="s">
        <v>62</v>
      </c>
      <c r="G35" s="1" t="s">
        <v>19</v>
      </c>
      <c r="H35" s="5">
        <v>1</v>
      </c>
      <c r="I35" s="5">
        <v>899.99</v>
      </c>
      <c r="J35" s="1" t="s">
        <v>26</v>
      </c>
      <c r="K35" s="1" t="s">
        <v>50</v>
      </c>
      <c r="L35" s="1" t="s">
        <v>27</v>
      </c>
      <c r="M35" s="4">
        <v>44578</v>
      </c>
      <c r="N35" s="5">
        <v>899.99</v>
      </c>
      <c r="Q35" s="1"/>
      <c r="R35" s="4"/>
      <c r="S35" s="1"/>
      <c r="T35" s="1"/>
      <c r="U35" s="1"/>
      <c r="V35" s="1"/>
      <c r="W35" s="1"/>
      <c r="X35" s="5"/>
      <c r="Y35" s="5"/>
      <c r="Z35" s="1"/>
      <c r="AA35" s="1"/>
      <c r="AB35" s="1"/>
      <c r="AC35" s="4"/>
      <c r="AD35" s="5"/>
    </row>
    <row r="36" spans="1:30" ht="29.4" thickBot="1">
      <c r="A36" s="1" t="s">
        <v>135</v>
      </c>
      <c r="B36" s="4">
        <v>45434</v>
      </c>
      <c r="C36" s="1" t="s">
        <v>99</v>
      </c>
      <c r="D36" s="1" t="s">
        <v>100</v>
      </c>
      <c r="E36" s="1" t="s">
        <v>105</v>
      </c>
      <c r="F36" s="1" t="s">
        <v>106</v>
      </c>
      <c r="G36" s="1" t="s">
        <v>46</v>
      </c>
      <c r="H36" s="5">
        <v>3</v>
      </c>
      <c r="I36" s="5">
        <v>299.99</v>
      </c>
      <c r="J36" s="1" t="s">
        <v>26</v>
      </c>
      <c r="K36" s="1" t="s">
        <v>63</v>
      </c>
      <c r="L36" s="1" t="s">
        <v>22</v>
      </c>
      <c r="M36" s="4">
        <v>44824</v>
      </c>
      <c r="N36" s="5">
        <v>899.97</v>
      </c>
      <c r="Q36" s="1"/>
      <c r="R36" s="4"/>
      <c r="S36" s="1"/>
      <c r="T36" s="1"/>
      <c r="U36" s="1"/>
      <c r="V36" s="1"/>
      <c r="W36" s="1"/>
      <c r="X36" s="5"/>
      <c r="Y36" s="5"/>
      <c r="Z36" s="1"/>
      <c r="AA36" s="1"/>
      <c r="AB36" s="1"/>
      <c r="AC36" s="4"/>
      <c r="AD36" s="5"/>
    </row>
    <row r="37" spans="1:30" ht="29.4" thickBot="1">
      <c r="A37" s="1" t="s">
        <v>136</v>
      </c>
      <c r="B37" s="4">
        <v>45435</v>
      </c>
      <c r="C37" s="1" t="s">
        <v>129</v>
      </c>
      <c r="D37" s="1" t="s">
        <v>130</v>
      </c>
      <c r="E37" s="1" t="s">
        <v>114</v>
      </c>
      <c r="F37" s="1" t="s">
        <v>115</v>
      </c>
      <c r="G37" s="1" t="s">
        <v>33</v>
      </c>
      <c r="H37" s="5">
        <v>3</v>
      </c>
      <c r="I37" s="5">
        <v>79.989999999999995</v>
      </c>
      <c r="J37" s="1" t="s">
        <v>20</v>
      </c>
      <c r="K37" s="1" t="s">
        <v>35</v>
      </c>
      <c r="L37" s="1" t="s">
        <v>22</v>
      </c>
      <c r="M37" s="4">
        <v>45046</v>
      </c>
      <c r="N37" s="5">
        <v>239.97</v>
      </c>
      <c r="Q37" s="1"/>
      <c r="R37" s="4"/>
      <c r="S37" s="1"/>
      <c r="T37" s="1"/>
      <c r="U37" s="1"/>
      <c r="V37" s="1"/>
      <c r="W37" s="1"/>
      <c r="X37" s="5"/>
      <c r="Y37" s="5"/>
      <c r="Z37" s="1"/>
      <c r="AA37" s="1"/>
      <c r="AB37" s="1"/>
      <c r="AC37" s="4"/>
      <c r="AD37" s="5"/>
    </row>
    <row r="38" spans="1:30" ht="29.4" thickBot="1">
      <c r="A38" s="1" t="s">
        <v>137</v>
      </c>
      <c r="B38" s="4">
        <v>45438</v>
      </c>
      <c r="C38" s="1" t="s">
        <v>138</v>
      </c>
      <c r="D38" s="1" t="s">
        <v>139</v>
      </c>
      <c r="E38" s="1" t="s">
        <v>126</v>
      </c>
      <c r="F38" s="1" t="s">
        <v>127</v>
      </c>
      <c r="G38" s="1" t="s">
        <v>46</v>
      </c>
      <c r="H38" s="5">
        <v>3</v>
      </c>
      <c r="I38" s="5">
        <v>199.99</v>
      </c>
      <c r="J38" s="1" t="s">
        <v>26</v>
      </c>
      <c r="K38" s="1" t="s">
        <v>40</v>
      </c>
      <c r="L38" s="1" t="s">
        <v>27</v>
      </c>
      <c r="M38" s="4">
        <v>45292</v>
      </c>
      <c r="N38" s="5">
        <v>599.97</v>
      </c>
      <c r="Q38" s="1"/>
      <c r="R38" s="4"/>
      <c r="S38" s="1"/>
      <c r="T38" s="1"/>
      <c r="U38" s="1"/>
      <c r="V38" s="1"/>
      <c r="W38" s="1"/>
      <c r="X38" s="5"/>
      <c r="Y38" s="5"/>
      <c r="Z38" s="1"/>
      <c r="AA38" s="1"/>
      <c r="AB38" s="1"/>
      <c r="AC38" s="4"/>
      <c r="AD38" s="5"/>
    </row>
    <row r="39" spans="1:30" ht="29.4" thickBot="1">
      <c r="A39" s="1" t="s">
        <v>140</v>
      </c>
      <c r="B39" s="4">
        <v>45440</v>
      </c>
      <c r="C39" s="1" t="s">
        <v>141</v>
      </c>
      <c r="D39" s="1" t="s">
        <v>142</v>
      </c>
      <c r="E39" s="1" t="s">
        <v>80</v>
      </c>
      <c r="F39" s="1" t="s">
        <v>81</v>
      </c>
      <c r="G39" s="1" t="s">
        <v>19</v>
      </c>
      <c r="H39" s="5">
        <v>5</v>
      </c>
      <c r="I39" s="5">
        <v>699.99</v>
      </c>
      <c r="J39" s="1" t="s">
        <v>34</v>
      </c>
      <c r="K39" s="1" t="s">
        <v>50</v>
      </c>
      <c r="L39" s="1" t="s">
        <v>36</v>
      </c>
      <c r="M39" s="4">
        <v>44407</v>
      </c>
      <c r="N39" s="5">
        <v>3499.95</v>
      </c>
      <c r="Q39" s="1"/>
      <c r="R39" s="4"/>
      <c r="S39" s="1"/>
      <c r="T39" s="1"/>
      <c r="U39" s="1"/>
      <c r="V39" s="1"/>
      <c r="W39" s="1"/>
      <c r="X39" s="5"/>
      <c r="Y39" s="5"/>
      <c r="Z39" s="1"/>
      <c r="AA39" s="1"/>
      <c r="AB39" s="1"/>
      <c r="AC39" s="4"/>
      <c r="AD39" s="5"/>
    </row>
    <row r="40" spans="1:30" ht="29.4" thickBot="1">
      <c r="A40" s="1" t="s">
        <v>143</v>
      </c>
      <c r="B40" s="4">
        <v>45441</v>
      </c>
      <c r="C40" s="1" t="s">
        <v>144</v>
      </c>
      <c r="D40" s="1" t="s">
        <v>145</v>
      </c>
      <c r="E40" s="1" t="s">
        <v>117</v>
      </c>
      <c r="F40" s="1" t="s">
        <v>118</v>
      </c>
      <c r="G40" s="1" t="s">
        <v>19</v>
      </c>
      <c r="H40" s="5">
        <v>3</v>
      </c>
      <c r="I40" s="5">
        <v>89.99</v>
      </c>
      <c r="J40" s="1" t="s">
        <v>34</v>
      </c>
      <c r="K40" s="1" t="s">
        <v>21</v>
      </c>
      <c r="L40" s="1" t="s">
        <v>27</v>
      </c>
      <c r="M40" s="4">
        <v>45120</v>
      </c>
      <c r="N40" s="5">
        <v>269.97000000000003</v>
      </c>
      <c r="Q40" s="1"/>
      <c r="R40" s="4"/>
      <c r="S40" s="1"/>
      <c r="T40" s="1"/>
      <c r="U40" s="1"/>
      <c r="V40" s="1"/>
      <c r="W40" s="1"/>
      <c r="X40" s="5"/>
      <c r="Y40" s="5"/>
      <c r="Z40" s="1"/>
      <c r="AA40" s="1"/>
      <c r="AB40" s="1"/>
      <c r="AC40" s="4"/>
      <c r="AD40" s="5"/>
    </row>
    <row r="41" spans="1:30" ht="29.4" thickBot="1">
      <c r="A41" s="1" t="s">
        <v>146</v>
      </c>
      <c r="B41" s="4">
        <v>45443</v>
      </c>
      <c r="C41" s="1" t="s">
        <v>147</v>
      </c>
      <c r="D41" s="1" t="s">
        <v>148</v>
      </c>
      <c r="E41" s="1" t="s">
        <v>114</v>
      </c>
      <c r="F41" s="1" t="s">
        <v>115</v>
      </c>
      <c r="G41" s="1" t="s">
        <v>33</v>
      </c>
      <c r="H41" s="5">
        <v>1</v>
      </c>
      <c r="I41" s="5">
        <v>79.989999999999995</v>
      </c>
      <c r="J41" s="1" t="s">
        <v>20</v>
      </c>
      <c r="K41" s="1" t="s">
        <v>40</v>
      </c>
      <c r="L41" s="1" t="s">
        <v>36</v>
      </c>
      <c r="M41" s="4">
        <v>44917</v>
      </c>
      <c r="N41" s="5">
        <v>79.989999999999995</v>
      </c>
      <c r="Q41" s="1"/>
      <c r="R41" s="4"/>
      <c r="S41" s="1"/>
      <c r="T41" s="1"/>
      <c r="U41" s="1"/>
      <c r="V41" s="1"/>
      <c r="W41" s="1"/>
      <c r="X41" s="5"/>
      <c r="Y41" s="5"/>
      <c r="Z41" s="1"/>
      <c r="AA41" s="1"/>
      <c r="AB41" s="1"/>
      <c r="AC41" s="4"/>
      <c r="AD41" s="5"/>
    </row>
    <row r="42" spans="1:30" ht="29.4" thickBot="1">
      <c r="A42" s="1" t="s">
        <v>149</v>
      </c>
      <c r="B42" s="4">
        <v>45444</v>
      </c>
      <c r="C42" s="1" t="s">
        <v>150</v>
      </c>
      <c r="D42" s="1" t="s">
        <v>151</v>
      </c>
      <c r="E42" s="1" t="s">
        <v>31</v>
      </c>
      <c r="F42" s="1" t="s">
        <v>32</v>
      </c>
      <c r="G42" s="1" t="s">
        <v>33</v>
      </c>
      <c r="H42" s="5">
        <v>2</v>
      </c>
      <c r="I42" s="5">
        <v>59.99</v>
      </c>
      <c r="J42" s="1" t="s">
        <v>20</v>
      </c>
      <c r="K42" s="1" t="s">
        <v>50</v>
      </c>
      <c r="L42" s="1" t="s">
        <v>22</v>
      </c>
      <c r="M42" s="4">
        <v>45390</v>
      </c>
      <c r="N42" s="5">
        <v>119.98</v>
      </c>
      <c r="Q42" s="1"/>
      <c r="R42" s="4"/>
      <c r="S42" s="1"/>
      <c r="T42" s="1"/>
      <c r="U42" s="1"/>
      <c r="V42" s="1"/>
      <c r="W42" s="1"/>
      <c r="X42" s="5"/>
      <c r="Y42" s="5"/>
      <c r="Z42" s="1"/>
      <c r="AA42" s="1"/>
      <c r="AB42" s="1"/>
      <c r="AC42" s="4"/>
      <c r="AD42" s="5"/>
    </row>
    <row r="43" spans="1:30" ht="29.4" thickBot="1">
      <c r="A43" s="1" t="s">
        <v>152</v>
      </c>
      <c r="B43" s="4">
        <v>45444</v>
      </c>
      <c r="C43" s="1" t="s">
        <v>55</v>
      </c>
      <c r="D43" s="1" t="s">
        <v>56</v>
      </c>
      <c r="E43" s="1" t="s">
        <v>117</v>
      </c>
      <c r="F43" s="1" t="s">
        <v>118</v>
      </c>
      <c r="G43" s="1" t="s">
        <v>19</v>
      </c>
      <c r="H43" s="5">
        <v>1</v>
      </c>
      <c r="I43" s="5">
        <v>89.99</v>
      </c>
      <c r="J43" s="1" t="s">
        <v>20</v>
      </c>
      <c r="K43" s="1" t="s">
        <v>40</v>
      </c>
      <c r="L43" s="1" t="s">
        <v>22</v>
      </c>
      <c r="M43" s="4">
        <v>45141</v>
      </c>
      <c r="N43" s="5">
        <v>89.99</v>
      </c>
      <c r="Q43" s="1"/>
      <c r="R43" s="4"/>
      <c r="S43" s="1"/>
      <c r="T43" s="1"/>
      <c r="U43" s="1"/>
      <c r="V43" s="1"/>
      <c r="W43" s="1"/>
      <c r="X43" s="5"/>
      <c r="Y43" s="5"/>
      <c r="Z43" s="1"/>
      <c r="AA43" s="1"/>
      <c r="AB43" s="1"/>
      <c r="AC43" s="4"/>
      <c r="AD43" s="5"/>
    </row>
    <row r="44" spans="1:30" ht="29.4" thickBot="1">
      <c r="A44" s="1" t="s">
        <v>153</v>
      </c>
      <c r="B44" s="4">
        <v>45446</v>
      </c>
      <c r="C44" s="1" t="s">
        <v>154</v>
      </c>
      <c r="D44" s="1" t="s">
        <v>155</v>
      </c>
      <c r="E44" s="1" t="s">
        <v>117</v>
      </c>
      <c r="F44" s="1" t="s">
        <v>118</v>
      </c>
      <c r="G44" s="1" t="s">
        <v>19</v>
      </c>
      <c r="H44" s="5">
        <v>5</v>
      </c>
      <c r="I44" s="5">
        <v>89.99</v>
      </c>
      <c r="J44" s="1" t="s">
        <v>26</v>
      </c>
      <c r="K44" s="1" t="s">
        <v>63</v>
      </c>
      <c r="L44" s="1" t="s">
        <v>36</v>
      </c>
      <c r="M44" s="4">
        <v>44587</v>
      </c>
      <c r="N44" s="5">
        <v>449.95</v>
      </c>
      <c r="Q44" s="1"/>
      <c r="R44" s="4"/>
      <c r="S44" s="1"/>
      <c r="T44" s="1"/>
      <c r="U44" s="1"/>
      <c r="V44" s="1"/>
      <c r="W44" s="1"/>
      <c r="X44" s="5"/>
      <c r="Y44" s="5"/>
      <c r="Z44" s="1"/>
      <c r="AA44" s="1"/>
      <c r="AB44" s="1"/>
      <c r="AC44" s="4"/>
      <c r="AD44" s="5"/>
    </row>
    <row r="45" spans="1:30" ht="29.4" thickBot="1">
      <c r="A45" s="1" t="s">
        <v>156</v>
      </c>
      <c r="B45" s="4">
        <v>45449</v>
      </c>
      <c r="C45" s="1" t="s">
        <v>24</v>
      </c>
      <c r="D45" s="1" t="s">
        <v>25</v>
      </c>
      <c r="E45" s="1" t="s">
        <v>17</v>
      </c>
      <c r="F45" s="1" t="s">
        <v>18</v>
      </c>
      <c r="G45" s="1" t="s">
        <v>19</v>
      </c>
      <c r="H45" s="5">
        <v>5</v>
      </c>
      <c r="I45" s="5">
        <v>249.99</v>
      </c>
      <c r="J45" s="1" t="s">
        <v>26</v>
      </c>
      <c r="K45" s="1" t="s">
        <v>63</v>
      </c>
      <c r="L45" s="1" t="s">
        <v>36</v>
      </c>
      <c r="M45" s="4">
        <v>44707</v>
      </c>
      <c r="N45" s="5">
        <v>1249.95</v>
      </c>
      <c r="Q45" s="1"/>
      <c r="R45" s="4"/>
      <c r="S45" s="1"/>
      <c r="T45" s="1"/>
      <c r="U45" s="1"/>
      <c r="V45" s="1"/>
      <c r="W45" s="1"/>
      <c r="X45" s="5"/>
      <c r="Y45" s="5"/>
      <c r="Z45" s="1"/>
      <c r="AA45" s="1"/>
      <c r="AB45" s="1"/>
      <c r="AC45" s="4"/>
      <c r="AD45" s="5"/>
    </row>
    <row r="46" spans="1:30" ht="29.4" thickBot="1">
      <c r="A46" s="1" t="s">
        <v>157</v>
      </c>
      <c r="B46" s="4">
        <v>45449</v>
      </c>
      <c r="C46" s="1" t="s">
        <v>158</v>
      </c>
      <c r="D46" s="1" t="s">
        <v>159</v>
      </c>
      <c r="E46" s="1" t="s">
        <v>117</v>
      </c>
      <c r="F46" s="1" t="s">
        <v>118</v>
      </c>
      <c r="G46" s="1" t="s">
        <v>19</v>
      </c>
      <c r="H46" s="5">
        <v>1</v>
      </c>
      <c r="I46" s="5">
        <v>89.99</v>
      </c>
      <c r="J46" s="1" t="s">
        <v>26</v>
      </c>
      <c r="K46" s="1" t="s">
        <v>35</v>
      </c>
      <c r="L46" s="1" t="s">
        <v>36</v>
      </c>
      <c r="M46" s="4">
        <v>44582</v>
      </c>
      <c r="N46" s="5">
        <v>89.99</v>
      </c>
      <c r="Q46" s="1"/>
      <c r="R46" s="4"/>
      <c r="S46" s="1"/>
      <c r="T46" s="1"/>
      <c r="U46" s="1"/>
      <c r="V46" s="1"/>
      <c r="W46" s="1"/>
      <c r="X46" s="5"/>
      <c r="Y46" s="5"/>
      <c r="Z46" s="1"/>
      <c r="AA46" s="1"/>
      <c r="AB46" s="1"/>
      <c r="AC46" s="4"/>
      <c r="AD46" s="5"/>
    </row>
    <row r="47" spans="1:30" ht="29.4" thickBot="1">
      <c r="A47" s="1" t="s">
        <v>160</v>
      </c>
      <c r="B47" s="4">
        <v>45450</v>
      </c>
      <c r="C47" s="1" t="s">
        <v>42</v>
      </c>
      <c r="D47" s="1" t="s">
        <v>43</v>
      </c>
      <c r="E47" s="1" t="s">
        <v>44</v>
      </c>
      <c r="F47" s="1" t="s">
        <v>45</v>
      </c>
      <c r="G47" s="1" t="s">
        <v>46</v>
      </c>
      <c r="H47" s="5">
        <v>2</v>
      </c>
      <c r="I47" s="5">
        <v>149.99</v>
      </c>
      <c r="J47" s="1" t="s">
        <v>20</v>
      </c>
      <c r="K47" s="1" t="s">
        <v>63</v>
      </c>
      <c r="L47" s="1" t="s">
        <v>27</v>
      </c>
      <c r="M47" s="4">
        <v>44645</v>
      </c>
      <c r="N47" s="5">
        <v>299.98</v>
      </c>
      <c r="Q47" s="1"/>
      <c r="R47" s="4"/>
      <c r="S47" s="1"/>
      <c r="T47" s="1"/>
      <c r="U47" s="1"/>
      <c r="V47" s="1"/>
      <c r="W47" s="1"/>
      <c r="X47" s="5"/>
      <c r="Y47" s="5"/>
      <c r="Z47" s="1"/>
      <c r="AA47" s="1"/>
      <c r="AB47" s="1"/>
      <c r="AC47" s="4"/>
      <c r="AD47" s="5"/>
    </row>
    <row r="48" spans="1:30" ht="29.4" thickBot="1">
      <c r="A48" s="1" t="s">
        <v>161</v>
      </c>
      <c r="B48" s="4">
        <v>45452</v>
      </c>
      <c r="C48" s="1" t="s">
        <v>162</v>
      </c>
      <c r="D48" s="1" t="s">
        <v>163</v>
      </c>
      <c r="E48" s="1" t="s">
        <v>31</v>
      </c>
      <c r="F48" s="1" t="s">
        <v>32</v>
      </c>
      <c r="G48" s="1" t="s">
        <v>33</v>
      </c>
      <c r="H48" s="5">
        <v>4</v>
      </c>
      <c r="I48" s="5">
        <v>59.99</v>
      </c>
      <c r="J48" s="1" t="s">
        <v>20</v>
      </c>
      <c r="K48" s="1" t="s">
        <v>63</v>
      </c>
      <c r="L48" s="1" t="s">
        <v>36</v>
      </c>
      <c r="M48" s="4">
        <v>44435</v>
      </c>
      <c r="N48" s="5">
        <v>239.96</v>
      </c>
      <c r="Q48" s="1"/>
      <c r="R48" s="4"/>
      <c r="S48" s="1"/>
      <c r="T48" s="1"/>
      <c r="U48" s="1"/>
      <c r="V48" s="1"/>
      <c r="W48" s="1"/>
      <c r="X48" s="5"/>
      <c r="Y48" s="5"/>
      <c r="Z48" s="1"/>
      <c r="AA48" s="1"/>
      <c r="AB48" s="1"/>
      <c r="AC48" s="4"/>
      <c r="AD48" s="5"/>
    </row>
    <row r="49" spans="1:30" ht="29.4" thickBot="1">
      <c r="A49" s="1" t="s">
        <v>164</v>
      </c>
      <c r="B49" s="4">
        <v>45456</v>
      </c>
      <c r="C49" s="1" t="s">
        <v>129</v>
      </c>
      <c r="D49" s="1" t="s">
        <v>130</v>
      </c>
      <c r="E49" s="1" t="s">
        <v>117</v>
      </c>
      <c r="F49" s="1" t="s">
        <v>118</v>
      </c>
      <c r="G49" s="1" t="s">
        <v>19</v>
      </c>
      <c r="H49" s="5">
        <v>5</v>
      </c>
      <c r="I49" s="5">
        <v>89.99</v>
      </c>
      <c r="J49" s="1" t="s">
        <v>20</v>
      </c>
      <c r="K49" s="1" t="s">
        <v>21</v>
      </c>
      <c r="L49" s="1" t="s">
        <v>27</v>
      </c>
      <c r="M49" s="4">
        <v>44579</v>
      </c>
      <c r="N49" s="5">
        <v>449.95</v>
      </c>
      <c r="Q49" s="1"/>
      <c r="R49" s="4"/>
      <c r="S49" s="1"/>
      <c r="T49" s="1"/>
      <c r="U49" s="1"/>
      <c r="V49" s="1"/>
      <c r="W49" s="1"/>
      <c r="X49" s="5"/>
      <c r="Y49" s="5"/>
      <c r="Z49" s="1"/>
      <c r="AA49" s="1"/>
      <c r="AB49" s="1"/>
      <c r="AC49" s="4"/>
      <c r="AD49" s="5"/>
    </row>
    <row r="50" spans="1:30" ht="29.4" thickBot="1">
      <c r="A50" s="1" t="s">
        <v>165</v>
      </c>
      <c r="B50" s="4">
        <v>45459</v>
      </c>
      <c r="C50" s="1" t="s">
        <v>99</v>
      </c>
      <c r="D50" s="1" t="s">
        <v>100</v>
      </c>
      <c r="E50" s="1" t="s">
        <v>117</v>
      </c>
      <c r="F50" s="1" t="s">
        <v>118</v>
      </c>
      <c r="G50" s="1" t="s">
        <v>19</v>
      </c>
      <c r="H50" s="5">
        <v>2</v>
      </c>
      <c r="I50" s="5">
        <v>89.99</v>
      </c>
      <c r="J50" s="1" t="s">
        <v>26</v>
      </c>
      <c r="K50" s="1" t="s">
        <v>35</v>
      </c>
      <c r="L50" s="1" t="s">
        <v>27</v>
      </c>
      <c r="M50" s="4">
        <v>44471</v>
      </c>
      <c r="N50" s="5">
        <v>179.98</v>
      </c>
      <c r="Q50" s="1"/>
      <c r="R50" s="4"/>
      <c r="S50" s="1"/>
      <c r="T50" s="1"/>
      <c r="U50" s="1"/>
      <c r="V50" s="1"/>
      <c r="W50" s="1"/>
      <c r="X50" s="5"/>
      <c r="Y50" s="5"/>
      <c r="Z50" s="1"/>
      <c r="AA50" s="1"/>
      <c r="AB50" s="1"/>
      <c r="AC50" s="4"/>
      <c r="AD50" s="5"/>
    </row>
    <row r="51" spans="1:30" ht="29.4" thickBot="1">
      <c r="A51" s="1" t="s">
        <v>166</v>
      </c>
      <c r="B51" s="4">
        <v>45459</v>
      </c>
      <c r="C51" s="1" t="s">
        <v>15</v>
      </c>
      <c r="D51" s="1" t="s">
        <v>16</v>
      </c>
      <c r="E51" s="1" t="s">
        <v>61</v>
      </c>
      <c r="F51" s="1" t="s">
        <v>62</v>
      </c>
      <c r="G51" s="1" t="s">
        <v>19</v>
      </c>
      <c r="H51" s="5">
        <v>5</v>
      </c>
      <c r="I51" s="5">
        <v>899.99</v>
      </c>
      <c r="J51" s="1" t="s">
        <v>26</v>
      </c>
      <c r="K51" s="1" t="s">
        <v>35</v>
      </c>
      <c r="L51" s="1" t="s">
        <v>36</v>
      </c>
      <c r="M51" s="4">
        <v>44974</v>
      </c>
      <c r="N51" s="5">
        <v>4499.95</v>
      </c>
      <c r="Q51" s="1"/>
      <c r="R51" s="4"/>
      <c r="S51" s="1"/>
      <c r="T51" s="1"/>
      <c r="U51" s="1"/>
      <c r="V51" s="1"/>
      <c r="W51" s="1"/>
      <c r="X51" s="5"/>
      <c r="Y51" s="5"/>
      <c r="Z51" s="1"/>
      <c r="AA51" s="1"/>
      <c r="AB51" s="1"/>
      <c r="AC51" s="4"/>
      <c r="AD51" s="5"/>
    </row>
    <row r="52" spans="1:30" ht="29.4" thickBot="1">
      <c r="A52" s="1" t="s">
        <v>167</v>
      </c>
      <c r="B52" s="4">
        <v>45459</v>
      </c>
      <c r="C52" s="1" t="s">
        <v>123</v>
      </c>
      <c r="D52" s="1" t="s">
        <v>124</v>
      </c>
      <c r="E52" s="1" t="s">
        <v>61</v>
      </c>
      <c r="F52" s="1" t="s">
        <v>62</v>
      </c>
      <c r="G52" s="1" t="s">
        <v>19</v>
      </c>
      <c r="H52" s="5">
        <v>5</v>
      </c>
      <c r="I52" s="5">
        <v>899.99</v>
      </c>
      <c r="J52" s="1" t="s">
        <v>34</v>
      </c>
      <c r="K52" s="1" t="s">
        <v>63</v>
      </c>
      <c r="L52" s="1" t="s">
        <v>27</v>
      </c>
      <c r="M52" s="4">
        <v>45278</v>
      </c>
      <c r="N52" s="5">
        <v>4499.95</v>
      </c>
      <c r="Q52" s="1"/>
      <c r="R52" s="4"/>
      <c r="S52" s="1"/>
      <c r="T52" s="1"/>
      <c r="U52" s="1"/>
      <c r="V52" s="1"/>
      <c r="W52" s="1"/>
      <c r="X52" s="5"/>
      <c r="Y52" s="5"/>
      <c r="Z52" s="1"/>
      <c r="AA52" s="1"/>
      <c r="AB52" s="1"/>
      <c r="AC52" s="4"/>
      <c r="AD52" s="5"/>
    </row>
    <row r="53" spans="1:30" ht="29.4" thickBot="1">
      <c r="A53" s="1" t="s">
        <v>168</v>
      </c>
      <c r="B53" s="4">
        <v>45460</v>
      </c>
      <c r="C53" s="1" t="s">
        <v>158</v>
      </c>
      <c r="D53" s="1" t="s">
        <v>159</v>
      </c>
      <c r="E53" s="1" t="s">
        <v>31</v>
      </c>
      <c r="F53" s="1" t="s">
        <v>32</v>
      </c>
      <c r="G53" s="1" t="s">
        <v>33</v>
      </c>
      <c r="H53" s="5">
        <v>1</v>
      </c>
      <c r="I53" s="5">
        <v>59.99</v>
      </c>
      <c r="J53" s="1" t="s">
        <v>57</v>
      </c>
      <c r="K53" s="1" t="s">
        <v>50</v>
      </c>
      <c r="L53" s="1" t="s">
        <v>27</v>
      </c>
      <c r="M53" s="4">
        <v>45190</v>
      </c>
      <c r="N53" s="5">
        <v>59.99</v>
      </c>
      <c r="Q53" s="1"/>
      <c r="R53" s="4"/>
      <c r="S53" s="1"/>
      <c r="T53" s="1"/>
      <c r="U53" s="1"/>
      <c r="V53" s="1"/>
      <c r="W53" s="1"/>
      <c r="X53" s="5"/>
      <c r="Y53" s="5"/>
      <c r="Z53" s="1"/>
      <c r="AA53" s="1"/>
      <c r="AB53" s="1"/>
      <c r="AC53" s="4"/>
      <c r="AD53" s="5"/>
    </row>
    <row r="54" spans="1:30" ht="29.4" thickBot="1">
      <c r="A54" s="1" t="s">
        <v>169</v>
      </c>
      <c r="B54" s="4">
        <v>45460</v>
      </c>
      <c r="C54" s="1" t="s">
        <v>141</v>
      </c>
      <c r="D54" s="1" t="s">
        <v>142</v>
      </c>
      <c r="E54" s="1" t="s">
        <v>105</v>
      </c>
      <c r="F54" s="1" t="s">
        <v>106</v>
      </c>
      <c r="G54" s="1" t="s">
        <v>46</v>
      </c>
      <c r="H54" s="5">
        <v>2</v>
      </c>
      <c r="I54" s="5">
        <v>299.99</v>
      </c>
      <c r="J54" s="1" t="s">
        <v>57</v>
      </c>
      <c r="K54" s="1" t="s">
        <v>63</v>
      </c>
      <c r="L54" s="1" t="s">
        <v>36</v>
      </c>
      <c r="M54" s="4">
        <v>45253</v>
      </c>
      <c r="N54" s="5">
        <v>599.98</v>
      </c>
      <c r="Q54" s="1"/>
      <c r="R54" s="4"/>
      <c r="S54" s="1"/>
      <c r="T54" s="1"/>
      <c r="U54" s="1"/>
      <c r="V54" s="1"/>
      <c r="W54" s="1"/>
      <c r="X54" s="5"/>
      <c r="Y54" s="5"/>
      <c r="Z54" s="1"/>
      <c r="AA54" s="1"/>
      <c r="AB54" s="1"/>
      <c r="AC54" s="4"/>
      <c r="AD54" s="5"/>
    </row>
    <row r="55" spans="1:30" ht="29.4" thickBot="1">
      <c r="A55" s="1" t="s">
        <v>170</v>
      </c>
      <c r="B55" s="4">
        <v>45468</v>
      </c>
      <c r="C55" s="1" t="s">
        <v>171</v>
      </c>
      <c r="D55" s="1" t="s">
        <v>172</v>
      </c>
      <c r="E55" s="1" t="s">
        <v>117</v>
      </c>
      <c r="F55" s="1" t="s">
        <v>118</v>
      </c>
      <c r="G55" s="1" t="s">
        <v>19</v>
      </c>
      <c r="H55" s="5">
        <v>4</v>
      </c>
      <c r="I55" s="5">
        <v>89.99</v>
      </c>
      <c r="J55" s="1" t="s">
        <v>57</v>
      </c>
      <c r="K55" s="1" t="s">
        <v>35</v>
      </c>
      <c r="L55" s="1" t="s">
        <v>22</v>
      </c>
      <c r="M55" s="4">
        <v>45281</v>
      </c>
      <c r="N55" s="5">
        <v>359.96</v>
      </c>
      <c r="Q55" s="1"/>
      <c r="R55" s="4"/>
      <c r="S55" s="1"/>
      <c r="T55" s="1"/>
      <c r="U55" s="1"/>
      <c r="V55" s="1"/>
      <c r="W55" s="1"/>
      <c r="X55" s="5"/>
      <c r="Y55" s="5"/>
      <c r="Z55" s="1"/>
      <c r="AA55" s="1"/>
      <c r="AB55" s="1"/>
      <c r="AC55" s="4"/>
      <c r="AD55" s="5"/>
    </row>
    <row r="56" spans="1:30" ht="29.4" thickBot="1">
      <c r="A56" s="1" t="s">
        <v>173</v>
      </c>
      <c r="B56" s="4">
        <v>45469</v>
      </c>
      <c r="C56" s="1" t="s">
        <v>29</v>
      </c>
      <c r="D56" s="1" t="s">
        <v>30</v>
      </c>
      <c r="E56" s="1" t="s">
        <v>114</v>
      </c>
      <c r="F56" s="1" t="s">
        <v>115</v>
      </c>
      <c r="G56" s="1" t="s">
        <v>33</v>
      </c>
      <c r="H56" s="5">
        <v>1</v>
      </c>
      <c r="I56" s="5">
        <v>79.989999999999995</v>
      </c>
      <c r="J56" s="1" t="s">
        <v>34</v>
      </c>
      <c r="K56" s="1" t="s">
        <v>21</v>
      </c>
      <c r="L56" s="1" t="s">
        <v>27</v>
      </c>
      <c r="M56" s="4">
        <v>45352</v>
      </c>
      <c r="N56" s="5">
        <v>79.989999999999995</v>
      </c>
      <c r="Q56" s="1"/>
      <c r="R56" s="4"/>
      <c r="S56" s="1"/>
      <c r="T56" s="1"/>
      <c r="U56" s="1"/>
      <c r="V56" s="1"/>
      <c r="W56" s="1"/>
      <c r="X56" s="5"/>
      <c r="Y56" s="5"/>
      <c r="Z56" s="1"/>
      <c r="AA56" s="1"/>
      <c r="AB56" s="1"/>
      <c r="AC56" s="4"/>
      <c r="AD56" s="5"/>
    </row>
    <row r="57" spans="1:30" ht="29.4" thickBot="1">
      <c r="A57" s="1" t="s">
        <v>174</v>
      </c>
      <c r="B57" s="4">
        <v>45469</v>
      </c>
      <c r="C57" s="1" t="s">
        <v>59</v>
      </c>
      <c r="D57" s="1" t="s">
        <v>60</v>
      </c>
      <c r="E57" s="1" t="s">
        <v>117</v>
      </c>
      <c r="F57" s="1" t="s">
        <v>118</v>
      </c>
      <c r="G57" s="1" t="s">
        <v>19</v>
      </c>
      <c r="H57" s="5">
        <v>2</v>
      </c>
      <c r="I57" s="5">
        <v>89.99</v>
      </c>
      <c r="J57" s="1" t="s">
        <v>20</v>
      </c>
      <c r="K57" s="1" t="s">
        <v>50</v>
      </c>
      <c r="L57" s="1" t="s">
        <v>22</v>
      </c>
      <c r="M57" s="4">
        <v>44438</v>
      </c>
      <c r="N57" s="5">
        <v>179.98</v>
      </c>
      <c r="Q57" s="1"/>
      <c r="R57" s="4"/>
      <c r="S57" s="1"/>
      <c r="T57" s="1"/>
      <c r="U57" s="1"/>
      <c r="V57" s="1"/>
      <c r="W57" s="1"/>
      <c r="X57" s="5"/>
      <c r="Y57" s="5"/>
      <c r="Z57" s="1"/>
      <c r="AA57" s="1"/>
      <c r="AB57" s="1"/>
      <c r="AC57" s="4"/>
      <c r="AD57" s="5"/>
    </row>
    <row r="58" spans="1:30" ht="29.4" thickBot="1">
      <c r="A58" s="1" t="s">
        <v>175</v>
      </c>
      <c r="B58" s="4">
        <v>45471</v>
      </c>
      <c r="C58" s="1" t="s">
        <v>38</v>
      </c>
      <c r="D58" s="1" t="s">
        <v>39</v>
      </c>
      <c r="E58" s="1" t="s">
        <v>80</v>
      </c>
      <c r="F58" s="1" t="s">
        <v>81</v>
      </c>
      <c r="G58" s="1" t="s">
        <v>19</v>
      </c>
      <c r="H58" s="5">
        <v>3</v>
      </c>
      <c r="I58" s="5">
        <v>699.99</v>
      </c>
      <c r="J58" s="1" t="s">
        <v>26</v>
      </c>
      <c r="K58" s="1" t="s">
        <v>63</v>
      </c>
      <c r="L58" s="1" t="s">
        <v>27</v>
      </c>
      <c r="M58" s="4">
        <v>45102</v>
      </c>
      <c r="N58" s="5">
        <v>2099.9699999999998</v>
      </c>
      <c r="Q58" s="1"/>
      <c r="R58" s="4"/>
      <c r="S58" s="1"/>
      <c r="T58" s="1"/>
      <c r="U58" s="1"/>
      <c r="V58" s="1"/>
      <c r="W58" s="1"/>
      <c r="X58" s="5"/>
      <c r="Y58" s="5"/>
      <c r="Z58" s="1"/>
      <c r="AA58" s="1"/>
      <c r="AB58" s="1"/>
      <c r="AC58" s="4"/>
      <c r="AD58" s="5"/>
    </row>
    <row r="59" spans="1:30" ht="29.4" thickBot="1">
      <c r="A59" s="1" t="s">
        <v>176</v>
      </c>
      <c r="B59" s="4">
        <v>45471</v>
      </c>
      <c r="C59" s="1" t="s">
        <v>99</v>
      </c>
      <c r="D59" s="1" t="s">
        <v>100</v>
      </c>
      <c r="E59" s="1" t="s">
        <v>61</v>
      </c>
      <c r="F59" s="1" t="s">
        <v>62</v>
      </c>
      <c r="G59" s="1" t="s">
        <v>19</v>
      </c>
      <c r="H59" s="5">
        <v>4</v>
      </c>
      <c r="I59" s="5">
        <v>899.99</v>
      </c>
      <c r="J59" s="1" t="s">
        <v>26</v>
      </c>
      <c r="K59" s="1" t="s">
        <v>63</v>
      </c>
      <c r="L59" s="1" t="s">
        <v>27</v>
      </c>
      <c r="M59" s="4">
        <v>44993</v>
      </c>
      <c r="N59" s="5">
        <v>3599.96</v>
      </c>
      <c r="Q59" s="1"/>
      <c r="R59" s="4"/>
      <c r="S59" s="1"/>
      <c r="T59" s="1"/>
      <c r="U59" s="1"/>
      <c r="V59" s="1"/>
      <c r="W59" s="1"/>
      <c r="X59" s="5"/>
      <c r="Y59" s="5"/>
      <c r="Z59" s="1"/>
      <c r="AA59" s="1"/>
      <c r="AB59" s="1"/>
      <c r="AC59" s="4"/>
      <c r="AD59" s="5"/>
    </row>
    <row r="60" spans="1:30" ht="29.4" thickBot="1">
      <c r="A60" s="1" t="s">
        <v>177</v>
      </c>
      <c r="B60" s="4">
        <v>45472</v>
      </c>
      <c r="C60" s="1" t="s">
        <v>120</v>
      </c>
      <c r="D60" s="1" t="s">
        <v>121</v>
      </c>
      <c r="E60" s="1" t="s">
        <v>44</v>
      </c>
      <c r="F60" s="1" t="s">
        <v>45</v>
      </c>
      <c r="G60" s="1" t="s">
        <v>46</v>
      </c>
      <c r="H60" s="5">
        <v>1</v>
      </c>
      <c r="I60" s="5">
        <v>149.99</v>
      </c>
      <c r="J60" s="1" t="s">
        <v>34</v>
      </c>
      <c r="K60" s="1" t="s">
        <v>63</v>
      </c>
      <c r="L60" s="1" t="s">
        <v>22</v>
      </c>
      <c r="M60" s="4">
        <v>44851</v>
      </c>
      <c r="N60" s="5">
        <v>149.99</v>
      </c>
      <c r="Q60" s="1"/>
      <c r="R60" s="4"/>
      <c r="S60" s="1"/>
      <c r="T60" s="1"/>
      <c r="U60" s="1"/>
      <c r="V60" s="1"/>
      <c r="W60" s="1"/>
      <c r="X60" s="5"/>
      <c r="Y60" s="5"/>
      <c r="Z60" s="1"/>
      <c r="AA60" s="1"/>
      <c r="AB60" s="1"/>
      <c r="AC60" s="4"/>
      <c r="AD60" s="5"/>
    </row>
    <row r="61" spans="1:30" ht="29.4" thickBot="1">
      <c r="A61" s="1" t="s">
        <v>178</v>
      </c>
      <c r="B61" s="4">
        <v>45474</v>
      </c>
      <c r="C61" s="1" t="s">
        <v>132</v>
      </c>
      <c r="D61" s="1" t="s">
        <v>133</v>
      </c>
      <c r="E61" s="1" t="s">
        <v>117</v>
      </c>
      <c r="F61" s="1" t="s">
        <v>118</v>
      </c>
      <c r="G61" s="1" t="s">
        <v>19</v>
      </c>
      <c r="H61" s="5">
        <v>2</v>
      </c>
      <c r="I61" s="5">
        <v>89.99</v>
      </c>
      <c r="J61" s="1" t="s">
        <v>34</v>
      </c>
      <c r="K61" s="1" t="s">
        <v>21</v>
      </c>
      <c r="L61" s="1" t="s">
        <v>27</v>
      </c>
      <c r="M61" s="4">
        <v>45275</v>
      </c>
      <c r="N61" s="5">
        <v>179.98</v>
      </c>
      <c r="Q61" s="1"/>
      <c r="R61" s="4"/>
      <c r="S61" s="1"/>
      <c r="T61" s="1"/>
      <c r="U61" s="1"/>
      <c r="V61" s="1"/>
      <c r="W61" s="1"/>
      <c r="X61" s="5"/>
      <c r="Y61" s="5"/>
      <c r="Z61" s="1"/>
      <c r="AA61" s="1"/>
      <c r="AB61" s="1"/>
      <c r="AC61" s="4"/>
      <c r="AD61" s="5"/>
    </row>
    <row r="62" spans="1:30" ht="29.4" thickBot="1">
      <c r="A62" s="1" t="s">
        <v>179</v>
      </c>
      <c r="B62" s="4">
        <v>45475</v>
      </c>
      <c r="C62" s="1" t="s">
        <v>55</v>
      </c>
      <c r="D62" s="1" t="s">
        <v>56</v>
      </c>
      <c r="E62" s="1" t="s">
        <v>117</v>
      </c>
      <c r="F62" s="1" t="s">
        <v>118</v>
      </c>
      <c r="G62" s="1" t="s">
        <v>19</v>
      </c>
      <c r="H62" s="5">
        <v>1</v>
      </c>
      <c r="I62" s="5">
        <v>89.99</v>
      </c>
      <c r="J62" s="1" t="s">
        <v>34</v>
      </c>
      <c r="K62" s="1" t="s">
        <v>50</v>
      </c>
      <c r="L62" s="1" t="s">
        <v>36</v>
      </c>
      <c r="M62" s="4">
        <v>44802</v>
      </c>
      <c r="N62" s="5">
        <v>89.99</v>
      </c>
      <c r="Q62" s="1"/>
      <c r="R62" s="4"/>
      <c r="S62" s="1"/>
      <c r="T62" s="1"/>
      <c r="U62" s="1"/>
      <c r="V62" s="1"/>
      <c r="W62" s="1"/>
      <c r="X62" s="5"/>
      <c r="Y62" s="5"/>
      <c r="Z62" s="1"/>
      <c r="AA62" s="1"/>
      <c r="AB62" s="1"/>
      <c r="AC62" s="4"/>
      <c r="AD62" s="5"/>
    </row>
    <row r="63" spans="1:30" ht="29.4" thickBot="1">
      <c r="A63" s="1" t="s">
        <v>180</v>
      </c>
      <c r="B63" s="4">
        <v>45476</v>
      </c>
      <c r="C63" s="1" t="s">
        <v>68</v>
      </c>
      <c r="D63" s="1" t="s">
        <v>69</v>
      </c>
      <c r="E63" s="1" t="s">
        <v>117</v>
      </c>
      <c r="F63" s="1" t="s">
        <v>118</v>
      </c>
      <c r="G63" s="1" t="s">
        <v>19</v>
      </c>
      <c r="H63" s="5">
        <v>1</v>
      </c>
      <c r="I63" s="5">
        <v>89.99</v>
      </c>
      <c r="J63" s="1" t="s">
        <v>20</v>
      </c>
      <c r="K63" s="1" t="s">
        <v>35</v>
      </c>
      <c r="L63" s="1" t="s">
        <v>36</v>
      </c>
      <c r="M63" s="4">
        <v>44611</v>
      </c>
      <c r="N63" s="5">
        <v>89.99</v>
      </c>
      <c r="Q63" s="1"/>
      <c r="R63" s="4"/>
      <c r="S63" s="1"/>
      <c r="T63" s="1"/>
      <c r="U63" s="1"/>
      <c r="V63" s="1"/>
      <c r="W63" s="1"/>
      <c r="X63" s="5"/>
      <c r="Y63" s="5"/>
      <c r="Z63" s="1"/>
      <c r="AA63" s="1"/>
      <c r="AB63" s="1"/>
      <c r="AC63" s="4"/>
      <c r="AD63" s="5"/>
    </row>
    <row r="64" spans="1:30" ht="29.4" thickBot="1">
      <c r="A64" s="1" t="s">
        <v>181</v>
      </c>
      <c r="B64" s="4">
        <v>45476</v>
      </c>
      <c r="C64" s="1" t="s">
        <v>182</v>
      </c>
      <c r="D64" s="1" t="s">
        <v>183</v>
      </c>
      <c r="E64" s="1" t="s">
        <v>114</v>
      </c>
      <c r="F64" s="1" t="s">
        <v>115</v>
      </c>
      <c r="G64" s="1" t="s">
        <v>33</v>
      </c>
      <c r="H64" s="5">
        <v>5</v>
      </c>
      <c r="I64" s="5">
        <v>79.989999999999995</v>
      </c>
      <c r="J64" s="1" t="s">
        <v>57</v>
      </c>
      <c r="K64" s="1" t="s">
        <v>21</v>
      </c>
      <c r="L64" s="1" t="s">
        <v>22</v>
      </c>
      <c r="M64" s="4">
        <v>44981</v>
      </c>
      <c r="N64" s="5">
        <v>399.95</v>
      </c>
      <c r="Q64" s="1"/>
      <c r="R64" s="4"/>
      <c r="S64" s="1"/>
      <c r="T64" s="1"/>
      <c r="U64" s="1"/>
      <c r="V64" s="1"/>
      <c r="W64" s="1"/>
      <c r="X64" s="5"/>
      <c r="Y64" s="5"/>
      <c r="Z64" s="1"/>
      <c r="AA64" s="1"/>
      <c r="AB64" s="1"/>
      <c r="AC64" s="4"/>
      <c r="AD64" s="5"/>
    </row>
    <row r="65" spans="1:30" ht="29.4" thickBot="1">
      <c r="A65" s="1" t="s">
        <v>184</v>
      </c>
      <c r="B65" s="4">
        <v>45481</v>
      </c>
      <c r="C65" s="1" t="s">
        <v>185</v>
      </c>
      <c r="D65" s="1" t="s">
        <v>186</v>
      </c>
      <c r="E65" s="1" t="s">
        <v>44</v>
      </c>
      <c r="F65" s="1" t="s">
        <v>45</v>
      </c>
      <c r="G65" s="1" t="s">
        <v>46</v>
      </c>
      <c r="H65" s="5">
        <v>1</v>
      </c>
      <c r="I65" s="5">
        <v>149.99</v>
      </c>
      <c r="J65" s="1" t="s">
        <v>34</v>
      </c>
      <c r="K65" s="1" t="s">
        <v>40</v>
      </c>
      <c r="L65" s="1" t="s">
        <v>22</v>
      </c>
      <c r="M65" s="4">
        <v>44421</v>
      </c>
      <c r="N65" s="5">
        <v>149.99</v>
      </c>
      <c r="Q65" s="1"/>
      <c r="R65" s="4"/>
      <c r="S65" s="1"/>
      <c r="T65" s="1"/>
      <c r="U65" s="1"/>
      <c r="V65" s="1"/>
      <c r="W65" s="1"/>
      <c r="X65" s="5"/>
      <c r="Y65" s="5"/>
      <c r="Z65" s="1"/>
      <c r="AA65" s="1"/>
      <c r="AB65" s="1"/>
      <c r="AC65" s="4"/>
      <c r="AD65" s="5"/>
    </row>
    <row r="66" spans="1:30" ht="29.4" thickBot="1">
      <c r="A66" s="1" t="s">
        <v>187</v>
      </c>
      <c r="B66" s="4">
        <v>45481</v>
      </c>
      <c r="C66" s="1" t="s">
        <v>42</v>
      </c>
      <c r="D66" s="1" t="s">
        <v>43</v>
      </c>
      <c r="E66" s="1" t="s">
        <v>80</v>
      </c>
      <c r="F66" s="1" t="s">
        <v>81</v>
      </c>
      <c r="G66" s="1" t="s">
        <v>19</v>
      </c>
      <c r="H66" s="5">
        <v>2</v>
      </c>
      <c r="I66" s="5">
        <v>699.99</v>
      </c>
      <c r="J66" s="1" t="s">
        <v>34</v>
      </c>
      <c r="K66" s="1" t="s">
        <v>63</v>
      </c>
      <c r="L66" s="1" t="s">
        <v>27</v>
      </c>
      <c r="M66" s="4">
        <v>45389</v>
      </c>
      <c r="N66" s="5">
        <v>1399.98</v>
      </c>
      <c r="Q66" s="1"/>
      <c r="R66" s="4"/>
      <c r="S66" s="1"/>
      <c r="T66" s="1"/>
      <c r="U66" s="1"/>
      <c r="V66" s="1"/>
      <c r="W66" s="1"/>
      <c r="X66" s="5"/>
      <c r="Y66" s="5"/>
      <c r="Z66" s="1"/>
      <c r="AA66" s="1"/>
      <c r="AB66" s="1"/>
      <c r="AC66" s="4"/>
      <c r="AD66" s="5"/>
    </row>
    <row r="67" spans="1:30" ht="29.4" thickBot="1">
      <c r="A67" s="1" t="s">
        <v>188</v>
      </c>
      <c r="B67" s="4">
        <v>45481</v>
      </c>
      <c r="C67" s="1" t="s">
        <v>96</v>
      </c>
      <c r="D67" s="1" t="s">
        <v>97</v>
      </c>
      <c r="E67" s="1" t="s">
        <v>117</v>
      </c>
      <c r="F67" s="1" t="s">
        <v>118</v>
      </c>
      <c r="G67" s="1" t="s">
        <v>19</v>
      </c>
      <c r="H67" s="5">
        <v>5</v>
      </c>
      <c r="I67" s="5">
        <v>89.99</v>
      </c>
      <c r="J67" s="1" t="s">
        <v>57</v>
      </c>
      <c r="K67" s="1" t="s">
        <v>40</v>
      </c>
      <c r="L67" s="1" t="s">
        <v>27</v>
      </c>
      <c r="M67" s="4">
        <v>45161</v>
      </c>
      <c r="N67" s="5">
        <v>449.95</v>
      </c>
      <c r="Q67" s="1"/>
      <c r="R67" s="4"/>
      <c r="S67" s="1"/>
      <c r="T67" s="1"/>
      <c r="U67" s="1"/>
      <c r="V67" s="1"/>
      <c r="W67" s="1"/>
      <c r="X67" s="5"/>
      <c r="Y67" s="5"/>
      <c r="Z67" s="1"/>
      <c r="AA67" s="1"/>
      <c r="AB67" s="1"/>
      <c r="AC67" s="4"/>
      <c r="AD67" s="5"/>
    </row>
    <row r="68" spans="1:30" ht="29.4" thickBot="1">
      <c r="A68" s="1" t="s">
        <v>189</v>
      </c>
      <c r="B68" s="4">
        <v>45482</v>
      </c>
      <c r="C68" s="1" t="s">
        <v>171</v>
      </c>
      <c r="D68" s="1" t="s">
        <v>172</v>
      </c>
      <c r="E68" s="1" t="s">
        <v>31</v>
      </c>
      <c r="F68" s="1" t="s">
        <v>32</v>
      </c>
      <c r="G68" s="1" t="s">
        <v>33</v>
      </c>
      <c r="H68" s="5">
        <v>4</v>
      </c>
      <c r="I68" s="5">
        <v>59.99</v>
      </c>
      <c r="J68" s="1" t="s">
        <v>20</v>
      </c>
      <c r="K68" s="1" t="s">
        <v>35</v>
      </c>
      <c r="L68" s="1" t="s">
        <v>36</v>
      </c>
      <c r="M68" s="4">
        <v>44509</v>
      </c>
      <c r="N68" s="5">
        <v>239.96</v>
      </c>
      <c r="Q68" s="1"/>
      <c r="R68" s="4"/>
      <c r="S68" s="1"/>
      <c r="T68" s="1"/>
      <c r="U68" s="1"/>
      <c r="V68" s="1"/>
      <c r="W68" s="1"/>
      <c r="X68" s="5"/>
      <c r="Y68" s="5"/>
      <c r="Z68" s="1"/>
      <c r="AA68" s="1"/>
      <c r="AB68" s="1"/>
      <c r="AC68" s="4"/>
      <c r="AD68" s="5"/>
    </row>
    <row r="69" spans="1:30" ht="29.4" thickBot="1">
      <c r="A69" s="1" t="s">
        <v>190</v>
      </c>
      <c r="B69" s="4">
        <v>45484</v>
      </c>
      <c r="C69" s="1" t="s">
        <v>24</v>
      </c>
      <c r="D69" s="1" t="s">
        <v>25</v>
      </c>
      <c r="E69" s="1" t="s">
        <v>52</v>
      </c>
      <c r="F69" s="1" t="s">
        <v>53</v>
      </c>
      <c r="G69" s="1" t="s">
        <v>19</v>
      </c>
      <c r="H69" s="5">
        <v>1</v>
      </c>
      <c r="I69" s="5">
        <v>149.99</v>
      </c>
      <c r="J69" s="1" t="s">
        <v>20</v>
      </c>
      <c r="K69" s="1" t="s">
        <v>21</v>
      </c>
      <c r="L69" s="1" t="s">
        <v>36</v>
      </c>
      <c r="M69" s="4">
        <v>44909</v>
      </c>
      <c r="N69" s="5">
        <v>149.99</v>
      </c>
      <c r="Q69" s="1"/>
      <c r="R69" s="4"/>
      <c r="S69" s="1"/>
      <c r="T69" s="1"/>
      <c r="U69" s="1"/>
      <c r="V69" s="1"/>
      <c r="W69" s="1"/>
      <c r="X69" s="5"/>
      <c r="Y69" s="5"/>
      <c r="Z69" s="1"/>
      <c r="AA69" s="1"/>
      <c r="AB69" s="1"/>
      <c r="AC69" s="4"/>
      <c r="AD69" s="5"/>
    </row>
    <row r="70" spans="1:30" ht="29.4" thickBot="1">
      <c r="A70" s="1" t="s">
        <v>191</v>
      </c>
      <c r="B70" s="4">
        <v>45484</v>
      </c>
      <c r="C70" s="1" t="s">
        <v>192</v>
      </c>
      <c r="D70" s="1" t="s">
        <v>193</v>
      </c>
      <c r="E70" s="1" t="s">
        <v>105</v>
      </c>
      <c r="F70" s="1" t="s">
        <v>106</v>
      </c>
      <c r="G70" s="1" t="s">
        <v>46</v>
      </c>
      <c r="H70" s="5">
        <v>1</v>
      </c>
      <c r="I70" s="5">
        <v>299.99</v>
      </c>
      <c r="J70" s="1" t="s">
        <v>26</v>
      </c>
      <c r="K70" s="1" t="s">
        <v>40</v>
      </c>
      <c r="L70" s="1" t="s">
        <v>27</v>
      </c>
      <c r="M70" s="4">
        <v>44891</v>
      </c>
      <c r="N70" s="5">
        <v>299.99</v>
      </c>
      <c r="Q70" s="1"/>
      <c r="R70" s="4"/>
      <c r="S70" s="1"/>
      <c r="T70" s="1"/>
      <c r="U70" s="1"/>
      <c r="V70" s="1"/>
      <c r="W70" s="1"/>
      <c r="X70" s="5"/>
      <c r="Y70" s="5"/>
      <c r="Z70" s="1"/>
      <c r="AA70" s="1"/>
      <c r="AB70" s="1"/>
      <c r="AC70" s="4"/>
      <c r="AD70" s="5"/>
    </row>
    <row r="71" spans="1:30" ht="29.4" thickBot="1">
      <c r="A71" s="1" t="s">
        <v>194</v>
      </c>
      <c r="B71" s="4">
        <v>45487</v>
      </c>
      <c r="C71" s="1" t="s">
        <v>192</v>
      </c>
      <c r="D71" s="1" t="s">
        <v>193</v>
      </c>
      <c r="E71" s="1" t="s">
        <v>126</v>
      </c>
      <c r="F71" s="1" t="s">
        <v>127</v>
      </c>
      <c r="G71" s="1" t="s">
        <v>46</v>
      </c>
      <c r="H71" s="5">
        <v>2</v>
      </c>
      <c r="I71" s="5">
        <v>199.99</v>
      </c>
      <c r="J71" s="1" t="s">
        <v>20</v>
      </c>
      <c r="K71" s="1" t="s">
        <v>40</v>
      </c>
      <c r="L71" s="1" t="s">
        <v>22</v>
      </c>
      <c r="M71" s="4">
        <v>44541</v>
      </c>
      <c r="N71" s="5">
        <v>399.98</v>
      </c>
      <c r="Q71" s="1"/>
      <c r="R71" s="4"/>
      <c r="S71" s="1"/>
      <c r="T71" s="1"/>
      <c r="U71" s="1"/>
      <c r="V71" s="1"/>
      <c r="W71" s="1"/>
      <c r="X71" s="5"/>
      <c r="Y71" s="5"/>
      <c r="Z71" s="1"/>
      <c r="AA71" s="1"/>
      <c r="AB71" s="1"/>
      <c r="AC71" s="4"/>
      <c r="AD71" s="5"/>
    </row>
    <row r="72" spans="1:30" ht="29.4" thickBot="1">
      <c r="A72" s="1" t="s">
        <v>195</v>
      </c>
      <c r="B72" s="4">
        <v>45490</v>
      </c>
      <c r="C72" s="1" t="s">
        <v>196</v>
      </c>
      <c r="D72" s="1" t="s">
        <v>197</v>
      </c>
      <c r="E72" s="1" t="s">
        <v>31</v>
      </c>
      <c r="F72" s="1" t="s">
        <v>32</v>
      </c>
      <c r="G72" s="1" t="s">
        <v>33</v>
      </c>
      <c r="H72" s="5">
        <v>3</v>
      </c>
      <c r="I72" s="5">
        <v>59.99</v>
      </c>
      <c r="J72" s="1" t="s">
        <v>26</v>
      </c>
      <c r="K72" s="1" t="s">
        <v>50</v>
      </c>
      <c r="L72" s="1" t="s">
        <v>22</v>
      </c>
      <c r="M72" s="4">
        <v>45130</v>
      </c>
      <c r="N72" s="5">
        <v>179.97</v>
      </c>
      <c r="Q72" s="1"/>
      <c r="R72" s="4"/>
      <c r="S72" s="1"/>
      <c r="T72" s="1"/>
      <c r="U72" s="1"/>
      <c r="V72" s="1"/>
      <c r="W72" s="1"/>
      <c r="X72" s="5"/>
      <c r="Y72" s="5"/>
      <c r="Z72" s="1"/>
      <c r="AA72" s="1"/>
      <c r="AB72" s="1"/>
      <c r="AC72" s="4"/>
      <c r="AD72" s="5"/>
    </row>
    <row r="73" spans="1:30" ht="43.8" thickBot="1">
      <c r="A73" s="1" t="s">
        <v>198</v>
      </c>
      <c r="B73" s="4">
        <v>45490</v>
      </c>
      <c r="C73" s="1" t="s">
        <v>72</v>
      </c>
      <c r="D73" s="1" t="s">
        <v>73</v>
      </c>
      <c r="E73" s="1" t="s">
        <v>44</v>
      </c>
      <c r="F73" s="1" t="s">
        <v>45</v>
      </c>
      <c r="G73" s="1" t="s">
        <v>46</v>
      </c>
      <c r="H73" s="5">
        <v>3</v>
      </c>
      <c r="I73" s="5">
        <v>149.99</v>
      </c>
      <c r="J73" s="1" t="s">
        <v>20</v>
      </c>
      <c r="K73" s="1" t="s">
        <v>21</v>
      </c>
      <c r="L73" s="1" t="s">
        <v>27</v>
      </c>
      <c r="M73" s="4">
        <v>45199</v>
      </c>
      <c r="N73" s="5">
        <v>449.97</v>
      </c>
      <c r="Q73" s="1"/>
      <c r="R73" s="4"/>
      <c r="S73" s="1"/>
      <c r="T73" s="1"/>
      <c r="U73" s="1"/>
      <c r="V73" s="1"/>
      <c r="W73" s="1"/>
      <c r="X73" s="5"/>
      <c r="Y73" s="5"/>
      <c r="Z73" s="1"/>
      <c r="AA73" s="1"/>
      <c r="AB73" s="1"/>
      <c r="AC73" s="4"/>
      <c r="AD73" s="5"/>
    </row>
    <row r="74" spans="1:30" ht="29.4" thickBot="1">
      <c r="A74" s="1" t="s">
        <v>199</v>
      </c>
      <c r="B74" s="4">
        <v>45491</v>
      </c>
      <c r="C74" s="1" t="s">
        <v>65</v>
      </c>
      <c r="D74" s="1" t="s">
        <v>66</v>
      </c>
      <c r="E74" s="1" t="s">
        <v>126</v>
      </c>
      <c r="F74" s="1" t="s">
        <v>127</v>
      </c>
      <c r="G74" s="1" t="s">
        <v>46</v>
      </c>
      <c r="H74" s="5">
        <v>3</v>
      </c>
      <c r="I74" s="5">
        <v>199.99</v>
      </c>
      <c r="J74" s="1" t="s">
        <v>20</v>
      </c>
      <c r="K74" s="1" t="s">
        <v>40</v>
      </c>
      <c r="L74" s="1" t="s">
        <v>27</v>
      </c>
      <c r="M74" s="4">
        <v>45254</v>
      </c>
      <c r="N74" s="5">
        <v>599.97</v>
      </c>
      <c r="Q74" s="1"/>
      <c r="R74" s="4"/>
      <c r="S74" s="1"/>
      <c r="T74" s="1"/>
      <c r="U74" s="1"/>
      <c r="V74" s="1"/>
      <c r="W74" s="1"/>
      <c r="X74" s="5"/>
      <c r="Y74" s="5"/>
      <c r="Z74" s="1"/>
      <c r="AA74" s="1"/>
      <c r="AB74" s="1"/>
      <c r="AC74" s="4"/>
      <c r="AD74" s="5"/>
    </row>
    <row r="75" spans="1:30" ht="29.4" thickBot="1">
      <c r="A75" s="1" t="s">
        <v>200</v>
      </c>
      <c r="B75" s="4">
        <v>45496</v>
      </c>
      <c r="C75" s="1" t="s">
        <v>150</v>
      </c>
      <c r="D75" s="1" t="s">
        <v>151</v>
      </c>
      <c r="E75" s="1" t="s">
        <v>61</v>
      </c>
      <c r="F75" s="1" t="s">
        <v>62</v>
      </c>
      <c r="G75" s="1" t="s">
        <v>19</v>
      </c>
      <c r="H75" s="5">
        <v>1</v>
      </c>
      <c r="I75" s="5">
        <v>899.99</v>
      </c>
      <c r="J75" s="1" t="s">
        <v>20</v>
      </c>
      <c r="K75" s="1" t="s">
        <v>21</v>
      </c>
      <c r="L75" s="1" t="s">
        <v>36</v>
      </c>
      <c r="M75" s="4">
        <v>45179</v>
      </c>
      <c r="N75" s="5">
        <v>899.99</v>
      </c>
      <c r="Q75" s="1"/>
      <c r="R75" s="4"/>
      <c r="S75" s="1"/>
      <c r="T75" s="1"/>
      <c r="U75" s="1"/>
      <c r="V75" s="1"/>
      <c r="W75" s="1"/>
      <c r="X75" s="5"/>
      <c r="Y75" s="5"/>
      <c r="Z75" s="1"/>
      <c r="AA75" s="1"/>
      <c r="AB75" s="1"/>
      <c r="AC75" s="4"/>
      <c r="AD75" s="5"/>
    </row>
    <row r="76" spans="1:30" ht="29.4" thickBot="1">
      <c r="A76" s="1" t="s">
        <v>201</v>
      </c>
      <c r="B76" s="4">
        <v>45497</v>
      </c>
      <c r="C76" s="1" t="s">
        <v>24</v>
      </c>
      <c r="D76" s="1" t="s">
        <v>25</v>
      </c>
      <c r="E76" s="1" t="s">
        <v>61</v>
      </c>
      <c r="F76" s="1" t="s">
        <v>62</v>
      </c>
      <c r="G76" s="1" t="s">
        <v>19</v>
      </c>
      <c r="H76" s="5">
        <v>5</v>
      </c>
      <c r="I76" s="5">
        <v>899.99</v>
      </c>
      <c r="J76" s="1" t="s">
        <v>57</v>
      </c>
      <c r="K76" s="1" t="s">
        <v>35</v>
      </c>
      <c r="L76" s="1" t="s">
        <v>36</v>
      </c>
      <c r="M76" s="4">
        <v>44899</v>
      </c>
      <c r="N76" s="5">
        <v>4499.95</v>
      </c>
      <c r="Q76" s="1"/>
      <c r="R76" s="4"/>
      <c r="S76" s="1"/>
      <c r="T76" s="1"/>
      <c r="U76" s="1"/>
      <c r="V76" s="1"/>
      <c r="W76" s="1"/>
      <c r="X76" s="5"/>
      <c r="Y76" s="5"/>
      <c r="Z76" s="1"/>
      <c r="AA76" s="1"/>
      <c r="AB76" s="1"/>
      <c r="AC76" s="4"/>
      <c r="AD76" s="5"/>
    </row>
    <row r="77" spans="1:30" ht="29.4" thickBot="1">
      <c r="A77" s="1" t="s">
        <v>202</v>
      </c>
      <c r="B77" s="4">
        <v>45498</v>
      </c>
      <c r="C77" s="1" t="s">
        <v>182</v>
      </c>
      <c r="D77" s="1" t="s">
        <v>183</v>
      </c>
      <c r="E77" s="1" t="s">
        <v>31</v>
      </c>
      <c r="F77" s="1" t="s">
        <v>32</v>
      </c>
      <c r="G77" s="1" t="s">
        <v>33</v>
      </c>
      <c r="H77" s="5">
        <v>2</v>
      </c>
      <c r="I77" s="5">
        <v>59.99</v>
      </c>
      <c r="J77" s="1" t="s">
        <v>20</v>
      </c>
      <c r="K77" s="1" t="s">
        <v>40</v>
      </c>
      <c r="L77" s="1" t="s">
        <v>36</v>
      </c>
      <c r="M77" s="4">
        <v>45152</v>
      </c>
      <c r="N77" s="5">
        <v>119.98</v>
      </c>
      <c r="Q77" s="1"/>
      <c r="R77" s="4"/>
      <c r="S77" s="1"/>
      <c r="T77" s="1"/>
      <c r="U77" s="1"/>
      <c r="V77" s="1"/>
      <c r="W77" s="1"/>
      <c r="X77" s="5"/>
      <c r="Y77" s="5"/>
      <c r="Z77" s="1"/>
      <c r="AA77" s="1"/>
      <c r="AB77" s="1"/>
      <c r="AC77" s="4"/>
      <c r="AD77" s="5"/>
    </row>
    <row r="78" spans="1:30" ht="29.4" thickBot="1">
      <c r="A78" s="1" t="s">
        <v>203</v>
      </c>
      <c r="B78" s="4">
        <v>45498</v>
      </c>
      <c r="C78" s="1" t="s">
        <v>196</v>
      </c>
      <c r="D78" s="1" t="s">
        <v>197</v>
      </c>
      <c r="E78" s="1" t="s">
        <v>17</v>
      </c>
      <c r="F78" s="1" t="s">
        <v>18</v>
      </c>
      <c r="G78" s="1" t="s">
        <v>19</v>
      </c>
      <c r="H78" s="5">
        <v>4</v>
      </c>
      <c r="I78" s="5">
        <v>249.99</v>
      </c>
      <c r="J78" s="1" t="s">
        <v>57</v>
      </c>
      <c r="K78" s="1" t="s">
        <v>21</v>
      </c>
      <c r="L78" s="1" t="s">
        <v>36</v>
      </c>
      <c r="M78" s="4">
        <v>45127</v>
      </c>
      <c r="N78" s="5">
        <v>999.96</v>
      </c>
      <c r="Q78" s="1"/>
      <c r="R78" s="4"/>
      <c r="S78" s="1"/>
      <c r="T78" s="1"/>
      <c r="U78" s="1"/>
      <c r="V78" s="1"/>
      <c r="W78" s="1"/>
      <c r="X78" s="5"/>
      <c r="Y78" s="5"/>
      <c r="Z78" s="1"/>
      <c r="AA78" s="1"/>
      <c r="AB78" s="1"/>
      <c r="AC78" s="4"/>
      <c r="AD78" s="5"/>
    </row>
    <row r="79" spans="1:30" ht="29.4" thickBot="1">
      <c r="A79" s="1" t="s">
        <v>204</v>
      </c>
      <c r="B79" s="4">
        <v>45500</v>
      </c>
      <c r="C79" s="1" t="s">
        <v>96</v>
      </c>
      <c r="D79" s="1" t="s">
        <v>97</v>
      </c>
      <c r="E79" s="1" t="s">
        <v>17</v>
      </c>
      <c r="F79" s="1" t="s">
        <v>18</v>
      </c>
      <c r="G79" s="1" t="s">
        <v>19</v>
      </c>
      <c r="H79" s="5">
        <v>2</v>
      </c>
      <c r="I79" s="5">
        <v>249.99</v>
      </c>
      <c r="J79" s="1" t="s">
        <v>20</v>
      </c>
      <c r="K79" s="1" t="s">
        <v>40</v>
      </c>
      <c r="L79" s="1" t="s">
        <v>27</v>
      </c>
      <c r="M79" s="4">
        <v>45164</v>
      </c>
      <c r="N79" s="5">
        <v>499.98</v>
      </c>
      <c r="Q79" s="1"/>
      <c r="R79" s="4"/>
      <c r="S79" s="1"/>
      <c r="T79" s="1"/>
      <c r="U79" s="1"/>
      <c r="V79" s="1"/>
      <c r="W79" s="1"/>
      <c r="X79" s="5"/>
      <c r="Y79" s="5"/>
      <c r="Z79" s="1"/>
      <c r="AA79" s="1"/>
      <c r="AB79" s="1"/>
      <c r="AC79" s="4"/>
      <c r="AD79" s="5"/>
    </row>
    <row r="80" spans="1:30" ht="29.4" thickBot="1">
      <c r="A80" s="1" t="s">
        <v>205</v>
      </c>
      <c r="B80" s="4">
        <v>45500</v>
      </c>
      <c r="C80" s="1" t="s">
        <v>147</v>
      </c>
      <c r="D80" s="1" t="s">
        <v>148</v>
      </c>
      <c r="E80" s="1" t="s">
        <v>105</v>
      </c>
      <c r="F80" s="1" t="s">
        <v>106</v>
      </c>
      <c r="G80" s="1" t="s">
        <v>46</v>
      </c>
      <c r="H80" s="5">
        <v>1</v>
      </c>
      <c r="I80" s="5">
        <v>299.99</v>
      </c>
      <c r="J80" s="1" t="s">
        <v>20</v>
      </c>
      <c r="K80" s="1" t="s">
        <v>35</v>
      </c>
      <c r="L80" s="1" t="s">
        <v>22</v>
      </c>
      <c r="M80" s="4">
        <v>44982</v>
      </c>
      <c r="N80" s="5">
        <v>299.99</v>
      </c>
      <c r="Q80" s="1"/>
      <c r="R80" s="4"/>
      <c r="S80" s="1"/>
      <c r="T80" s="1"/>
      <c r="U80" s="1"/>
      <c r="V80" s="1"/>
      <c r="W80" s="1"/>
      <c r="X80" s="5"/>
      <c r="Y80" s="5"/>
      <c r="Z80" s="1"/>
      <c r="AA80" s="1"/>
      <c r="AB80" s="1"/>
      <c r="AC80" s="4"/>
      <c r="AD80" s="5"/>
    </row>
    <row r="81" spans="1:30" ht="29.4" thickBot="1">
      <c r="A81" s="1" t="s">
        <v>206</v>
      </c>
      <c r="B81" s="4">
        <v>45501</v>
      </c>
      <c r="C81" s="1" t="s">
        <v>86</v>
      </c>
      <c r="D81" s="1" t="s">
        <v>87</v>
      </c>
      <c r="E81" s="1" t="s">
        <v>117</v>
      </c>
      <c r="F81" s="1" t="s">
        <v>118</v>
      </c>
      <c r="G81" s="1" t="s">
        <v>19</v>
      </c>
      <c r="H81" s="5">
        <v>2</v>
      </c>
      <c r="I81" s="5">
        <v>89.99</v>
      </c>
      <c r="J81" s="1" t="s">
        <v>34</v>
      </c>
      <c r="K81" s="1" t="s">
        <v>35</v>
      </c>
      <c r="L81" s="1" t="s">
        <v>22</v>
      </c>
      <c r="M81" s="4">
        <v>44976</v>
      </c>
      <c r="N81" s="5">
        <v>179.98</v>
      </c>
      <c r="Q81" s="1"/>
      <c r="R81" s="4"/>
      <c r="S81" s="1"/>
      <c r="T81" s="1"/>
      <c r="U81" s="1"/>
      <c r="V81" s="1"/>
      <c r="W81" s="1"/>
      <c r="X81" s="5"/>
      <c r="Y81" s="5"/>
      <c r="Z81" s="1"/>
      <c r="AA81" s="1"/>
      <c r="AB81" s="1"/>
      <c r="AC81" s="4"/>
      <c r="AD81" s="5"/>
    </row>
    <row r="82" spans="1:30" ht="29.4" thickBot="1">
      <c r="A82" s="1" t="s">
        <v>207</v>
      </c>
      <c r="B82" s="4">
        <v>45501</v>
      </c>
      <c r="C82" s="1" t="s">
        <v>147</v>
      </c>
      <c r="D82" s="1" t="s">
        <v>148</v>
      </c>
      <c r="E82" s="1" t="s">
        <v>105</v>
      </c>
      <c r="F82" s="1" t="s">
        <v>106</v>
      </c>
      <c r="G82" s="1" t="s">
        <v>46</v>
      </c>
      <c r="H82" s="5">
        <v>3</v>
      </c>
      <c r="I82" s="5">
        <v>299.99</v>
      </c>
      <c r="J82" s="1" t="s">
        <v>20</v>
      </c>
      <c r="K82" s="1" t="s">
        <v>21</v>
      </c>
      <c r="L82" s="1" t="s">
        <v>22</v>
      </c>
      <c r="M82" s="4">
        <v>44732</v>
      </c>
      <c r="N82" s="5">
        <v>899.97</v>
      </c>
      <c r="Q82" s="1"/>
      <c r="R82" s="4"/>
      <c r="S82" s="1"/>
      <c r="T82" s="1"/>
      <c r="U82" s="1"/>
      <c r="V82" s="1"/>
      <c r="W82" s="1"/>
      <c r="X82" s="5"/>
      <c r="Y82" s="5"/>
      <c r="Z82" s="1"/>
      <c r="AA82" s="1"/>
      <c r="AB82" s="1"/>
      <c r="AC82" s="4"/>
      <c r="AD82" s="5"/>
    </row>
    <row r="83" spans="1:30" ht="29.4" thickBot="1">
      <c r="A83" s="1" t="s">
        <v>208</v>
      </c>
      <c r="B83" s="4">
        <v>45503</v>
      </c>
      <c r="C83" s="1" t="s">
        <v>86</v>
      </c>
      <c r="D83" s="1" t="s">
        <v>87</v>
      </c>
      <c r="E83" s="1" t="s">
        <v>80</v>
      </c>
      <c r="F83" s="1" t="s">
        <v>81</v>
      </c>
      <c r="G83" s="1" t="s">
        <v>19</v>
      </c>
      <c r="H83" s="5">
        <v>2</v>
      </c>
      <c r="I83" s="5">
        <v>699.99</v>
      </c>
      <c r="J83" s="1" t="s">
        <v>26</v>
      </c>
      <c r="K83" s="1" t="s">
        <v>40</v>
      </c>
      <c r="L83" s="1" t="s">
        <v>27</v>
      </c>
      <c r="M83" s="4">
        <v>44999</v>
      </c>
      <c r="N83" s="5">
        <v>1399.98</v>
      </c>
      <c r="Q83" s="1"/>
      <c r="R83" s="4"/>
      <c r="S83" s="1"/>
      <c r="T83" s="1"/>
      <c r="U83" s="1"/>
      <c r="V83" s="1"/>
      <c r="W83" s="1"/>
      <c r="X83" s="5"/>
      <c r="Y83" s="5"/>
      <c r="Z83" s="1"/>
      <c r="AA83" s="1"/>
      <c r="AB83" s="1"/>
      <c r="AC83" s="4"/>
      <c r="AD83" s="5"/>
    </row>
    <row r="84" spans="1:30" ht="29.4" thickBot="1">
      <c r="A84" s="1" t="s">
        <v>209</v>
      </c>
      <c r="B84" s="4">
        <v>45504</v>
      </c>
      <c r="C84" s="1" t="s">
        <v>120</v>
      </c>
      <c r="D84" s="1" t="s">
        <v>121</v>
      </c>
      <c r="E84" s="1" t="s">
        <v>61</v>
      </c>
      <c r="F84" s="1" t="s">
        <v>62</v>
      </c>
      <c r="G84" s="1" t="s">
        <v>19</v>
      </c>
      <c r="H84" s="5">
        <v>4</v>
      </c>
      <c r="I84" s="5">
        <v>899.99</v>
      </c>
      <c r="J84" s="1" t="s">
        <v>57</v>
      </c>
      <c r="K84" s="1" t="s">
        <v>35</v>
      </c>
      <c r="L84" s="1" t="s">
        <v>36</v>
      </c>
      <c r="M84" s="4">
        <v>44523</v>
      </c>
      <c r="N84" s="5">
        <v>3599.96</v>
      </c>
      <c r="Q84" s="1"/>
      <c r="R84" s="4"/>
      <c r="S84" s="1"/>
      <c r="T84" s="1"/>
      <c r="U84" s="1"/>
      <c r="V84" s="1"/>
      <c r="W84" s="1"/>
      <c r="X84" s="5"/>
      <c r="Y84" s="5"/>
      <c r="Z84" s="1"/>
      <c r="AA84" s="1"/>
      <c r="AB84" s="1"/>
      <c r="AC84" s="4"/>
      <c r="AD84" s="5"/>
    </row>
    <row r="85" spans="1:30" ht="29.4" thickBot="1">
      <c r="A85" s="1" t="s">
        <v>210</v>
      </c>
      <c r="B85" s="4">
        <v>45509</v>
      </c>
      <c r="C85" s="1" t="s">
        <v>211</v>
      </c>
      <c r="D85" s="1" t="s">
        <v>212</v>
      </c>
      <c r="E85" s="1" t="s">
        <v>44</v>
      </c>
      <c r="F85" s="1" t="s">
        <v>45</v>
      </c>
      <c r="G85" s="1" t="s">
        <v>46</v>
      </c>
      <c r="H85" s="5">
        <v>2</v>
      </c>
      <c r="I85" s="5">
        <v>149.99</v>
      </c>
      <c r="J85" s="1" t="s">
        <v>26</v>
      </c>
      <c r="K85" s="1" t="s">
        <v>50</v>
      </c>
      <c r="L85" s="1" t="s">
        <v>22</v>
      </c>
      <c r="M85" s="4">
        <v>44542</v>
      </c>
      <c r="N85" s="5">
        <v>299.98</v>
      </c>
      <c r="Q85" s="1"/>
      <c r="R85" s="4"/>
      <c r="S85" s="1"/>
      <c r="T85" s="1"/>
      <c r="U85" s="1"/>
      <c r="V85" s="1"/>
      <c r="W85" s="1"/>
      <c r="X85" s="5"/>
      <c r="Y85" s="5"/>
      <c r="Z85" s="1"/>
      <c r="AA85" s="1"/>
      <c r="AB85" s="1"/>
      <c r="AC85" s="4"/>
      <c r="AD85" s="5"/>
    </row>
    <row r="86" spans="1:30" ht="29.4" thickBot="1">
      <c r="A86" s="1" t="s">
        <v>213</v>
      </c>
      <c r="B86" s="4">
        <v>45510</v>
      </c>
      <c r="C86" s="1" t="s">
        <v>102</v>
      </c>
      <c r="D86" s="1" t="s">
        <v>103</v>
      </c>
      <c r="E86" s="1" t="s">
        <v>44</v>
      </c>
      <c r="F86" s="1" t="s">
        <v>45</v>
      </c>
      <c r="G86" s="1" t="s">
        <v>46</v>
      </c>
      <c r="H86" s="5">
        <v>2</v>
      </c>
      <c r="I86" s="5">
        <v>149.99</v>
      </c>
      <c r="J86" s="1" t="s">
        <v>57</v>
      </c>
      <c r="K86" s="1" t="s">
        <v>63</v>
      </c>
      <c r="L86" s="1" t="s">
        <v>36</v>
      </c>
      <c r="M86" s="4">
        <v>44667</v>
      </c>
      <c r="N86" s="5">
        <v>299.98</v>
      </c>
      <c r="Q86" s="1"/>
      <c r="R86" s="4"/>
      <c r="S86" s="1"/>
      <c r="T86" s="1"/>
      <c r="U86" s="1"/>
      <c r="V86" s="1"/>
      <c r="W86" s="1"/>
      <c r="X86" s="5"/>
      <c r="Y86" s="5"/>
      <c r="Z86" s="1"/>
      <c r="AA86" s="1"/>
      <c r="AB86" s="1"/>
      <c r="AC86" s="4"/>
      <c r="AD86" s="5"/>
    </row>
    <row r="87" spans="1:30" ht="29.4" thickBot="1">
      <c r="A87" s="1" t="s">
        <v>214</v>
      </c>
      <c r="B87" s="4">
        <v>45513</v>
      </c>
      <c r="C87" s="1" t="s">
        <v>89</v>
      </c>
      <c r="D87" s="1" t="s">
        <v>90</v>
      </c>
      <c r="E87" s="1" t="s">
        <v>117</v>
      </c>
      <c r="F87" s="1" t="s">
        <v>118</v>
      </c>
      <c r="G87" s="1" t="s">
        <v>19</v>
      </c>
      <c r="H87" s="5">
        <v>1</v>
      </c>
      <c r="I87" s="5">
        <v>89.99</v>
      </c>
      <c r="J87" s="1" t="s">
        <v>26</v>
      </c>
      <c r="K87" s="1" t="s">
        <v>40</v>
      </c>
      <c r="L87" s="1" t="s">
        <v>36</v>
      </c>
      <c r="M87" s="4">
        <v>45393</v>
      </c>
      <c r="N87" s="5">
        <v>89.99</v>
      </c>
      <c r="Q87" s="1"/>
      <c r="R87" s="4"/>
      <c r="S87" s="1"/>
      <c r="T87" s="1"/>
      <c r="U87" s="1"/>
      <c r="V87" s="1"/>
      <c r="W87" s="1"/>
      <c r="X87" s="5"/>
      <c r="Y87" s="5"/>
      <c r="Z87" s="1"/>
      <c r="AA87" s="1"/>
      <c r="AB87" s="1"/>
      <c r="AC87" s="4"/>
      <c r="AD87" s="5"/>
    </row>
    <row r="88" spans="1:30" ht="29.4" thickBot="1">
      <c r="A88" s="1" t="s">
        <v>215</v>
      </c>
      <c r="B88" s="4">
        <v>45515</v>
      </c>
      <c r="C88" s="1" t="s">
        <v>86</v>
      </c>
      <c r="D88" s="1" t="s">
        <v>87</v>
      </c>
      <c r="E88" s="1" t="s">
        <v>105</v>
      </c>
      <c r="F88" s="1" t="s">
        <v>106</v>
      </c>
      <c r="G88" s="1" t="s">
        <v>46</v>
      </c>
      <c r="H88" s="5">
        <v>5</v>
      </c>
      <c r="I88" s="5">
        <v>299.99</v>
      </c>
      <c r="J88" s="1" t="s">
        <v>26</v>
      </c>
      <c r="K88" s="1" t="s">
        <v>40</v>
      </c>
      <c r="L88" s="1" t="s">
        <v>22</v>
      </c>
      <c r="M88" s="4">
        <v>44965</v>
      </c>
      <c r="N88" s="5">
        <v>1499.95</v>
      </c>
      <c r="Q88" s="1"/>
      <c r="R88" s="4"/>
      <c r="S88" s="1"/>
      <c r="T88" s="1"/>
      <c r="U88" s="1"/>
      <c r="V88" s="1"/>
      <c r="W88" s="1"/>
      <c r="X88" s="5"/>
      <c r="Y88" s="5"/>
      <c r="Z88" s="1"/>
      <c r="AA88" s="1"/>
      <c r="AB88" s="1"/>
      <c r="AC88" s="4"/>
      <c r="AD88" s="5"/>
    </row>
    <row r="89" spans="1:30" ht="29.4" thickBot="1">
      <c r="A89" s="1" t="s">
        <v>216</v>
      </c>
      <c r="B89" s="4">
        <v>45517</v>
      </c>
      <c r="C89" s="1" t="s">
        <v>182</v>
      </c>
      <c r="D89" s="1" t="s">
        <v>183</v>
      </c>
      <c r="E89" s="1" t="s">
        <v>52</v>
      </c>
      <c r="F89" s="1" t="s">
        <v>53</v>
      </c>
      <c r="G89" s="1" t="s">
        <v>19</v>
      </c>
      <c r="H89" s="5">
        <v>4</v>
      </c>
      <c r="I89" s="5">
        <v>149.99</v>
      </c>
      <c r="J89" s="1" t="s">
        <v>57</v>
      </c>
      <c r="K89" s="1" t="s">
        <v>35</v>
      </c>
      <c r="L89" s="1" t="s">
        <v>27</v>
      </c>
      <c r="M89" s="4">
        <v>44820</v>
      </c>
      <c r="N89" s="5">
        <v>599.96</v>
      </c>
      <c r="Q89" s="1"/>
      <c r="R89" s="4"/>
      <c r="S89" s="1"/>
      <c r="T89" s="1"/>
      <c r="U89" s="1"/>
      <c r="V89" s="1"/>
      <c r="W89" s="1"/>
      <c r="X89" s="5"/>
      <c r="Y89" s="5"/>
      <c r="Z89" s="1"/>
      <c r="AA89" s="1"/>
      <c r="AB89" s="1"/>
      <c r="AC89" s="4"/>
      <c r="AD89" s="5"/>
    </row>
    <row r="90" spans="1:30" ht="29.4" thickBot="1">
      <c r="A90" s="1" t="s">
        <v>217</v>
      </c>
      <c r="B90" s="4">
        <v>45517</v>
      </c>
      <c r="C90" s="1" t="s">
        <v>185</v>
      </c>
      <c r="D90" s="1" t="s">
        <v>186</v>
      </c>
      <c r="E90" s="1" t="s">
        <v>17</v>
      </c>
      <c r="F90" s="1" t="s">
        <v>18</v>
      </c>
      <c r="G90" s="1" t="s">
        <v>19</v>
      </c>
      <c r="H90" s="5">
        <v>5</v>
      </c>
      <c r="I90" s="5">
        <v>249.99</v>
      </c>
      <c r="J90" s="1" t="s">
        <v>34</v>
      </c>
      <c r="K90" s="1" t="s">
        <v>63</v>
      </c>
      <c r="L90" s="1" t="s">
        <v>27</v>
      </c>
      <c r="M90" s="4">
        <v>44782</v>
      </c>
      <c r="N90" s="5">
        <v>1249.95</v>
      </c>
      <c r="Q90" s="1"/>
      <c r="R90" s="4"/>
      <c r="S90" s="1"/>
      <c r="T90" s="1"/>
      <c r="U90" s="1"/>
      <c r="V90" s="1"/>
      <c r="W90" s="1"/>
      <c r="X90" s="5"/>
      <c r="Y90" s="5"/>
      <c r="Z90" s="1"/>
      <c r="AA90" s="1"/>
      <c r="AB90" s="1"/>
      <c r="AC90" s="4"/>
      <c r="AD90" s="5"/>
    </row>
    <row r="91" spans="1:30" ht="29.4" thickBot="1">
      <c r="A91" s="1" t="s">
        <v>218</v>
      </c>
      <c r="B91" s="4">
        <v>45517</v>
      </c>
      <c r="C91" s="1" t="s">
        <v>65</v>
      </c>
      <c r="D91" s="1" t="s">
        <v>66</v>
      </c>
      <c r="E91" s="1" t="s">
        <v>17</v>
      </c>
      <c r="F91" s="1" t="s">
        <v>18</v>
      </c>
      <c r="G91" s="1" t="s">
        <v>19</v>
      </c>
      <c r="H91" s="5">
        <v>3</v>
      </c>
      <c r="I91" s="5">
        <v>249.99</v>
      </c>
      <c r="J91" s="1" t="s">
        <v>34</v>
      </c>
      <c r="K91" s="1" t="s">
        <v>40</v>
      </c>
      <c r="L91" s="1" t="s">
        <v>27</v>
      </c>
      <c r="M91" s="4">
        <v>44465</v>
      </c>
      <c r="N91" s="5">
        <v>749.97</v>
      </c>
      <c r="Q91" s="1"/>
      <c r="R91" s="4"/>
      <c r="S91" s="1"/>
      <c r="T91" s="1"/>
      <c r="U91" s="1"/>
      <c r="V91" s="1"/>
      <c r="W91" s="1"/>
      <c r="X91" s="5"/>
      <c r="Y91" s="5"/>
      <c r="Z91" s="1"/>
      <c r="AA91" s="1"/>
      <c r="AB91" s="1"/>
      <c r="AC91" s="4"/>
      <c r="AD91" s="5"/>
    </row>
    <row r="92" spans="1:30" ht="29.4" thickBot="1">
      <c r="A92" s="1" t="s">
        <v>219</v>
      </c>
      <c r="B92" s="4">
        <v>45517</v>
      </c>
      <c r="C92" s="1" t="s">
        <v>38</v>
      </c>
      <c r="D92" s="1" t="s">
        <v>39</v>
      </c>
      <c r="E92" s="1" t="s">
        <v>126</v>
      </c>
      <c r="F92" s="1" t="s">
        <v>127</v>
      </c>
      <c r="G92" s="1" t="s">
        <v>46</v>
      </c>
      <c r="H92" s="5">
        <v>4</v>
      </c>
      <c r="I92" s="5">
        <v>199.99</v>
      </c>
      <c r="J92" s="1" t="s">
        <v>20</v>
      </c>
      <c r="K92" s="1" t="s">
        <v>40</v>
      </c>
      <c r="L92" s="1" t="s">
        <v>36</v>
      </c>
      <c r="M92" s="4">
        <v>44458</v>
      </c>
      <c r="N92" s="5">
        <v>799.96</v>
      </c>
      <c r="Q92" s="1"/>
      <c r="R92" s="4"/>
      <c r="S92" s="1"/>
      <c r="T92" s="1"/>
      <c r="U92" s="1"/>
      <c r="V92" s="1"/>
      <c r="W92" s="1"/>
      <c r="X92" s="5"/>
      <c r="Y92" s="5"/>
      <c r="Z92" s="1"/>
      <c r="AA92" s="1"/>
      <c r="AB92" s="1"/>
      <c r="AC92" s="4"/>
      <c r="AD92" s="5"/>
    </row>
    <row r="93" spans="1:30" ht="29.4" thickBot="1">
      <c r="A93" s="1" t="s">
        <v>220</v>
      </c>
      <c r="B93" s="4">
        <v>45519</v>
      </c>
      <c r="C93" s="1" t="s">
        <v>158</v>
      </c>
      <c r="D93" s="1" t="s">
        <v>159</v>
      </c>
      <c r="E93" s="1" t="s">
        <v>126</v>
      </c>
      <c r="F93" s="1" t="s">
        <v>127</v>
      </c>
      <c r="G93" s="1" t="s">
        <v>46</v>
      </c>
      <c r="H93" s="5">
        <v>5</v>
      </c>
      <c r="I93" s="5">
        <v>199.99</v>
      </c>
      <c r="J93" s="1" t="s">
        <v>20</v>
      </c>
      <c r="K93" s="1" t="s">
        <v>40</v>
      </c>
      <c r="L93" s="1" t="s">
        <v>27</v>
      </c>
      <c r="M93" s="4">
        <v>44991</v>
      </c>
      <c r="N93" s="5">
        <v>999.95</v>
      </c>
      <c r="Q93" s="1"/>
      <c r="R93" s="4"/>
      <c r="S93" s="1"/>
      <c r="T93" s="1"/>
      <c r="U93" s="1"/>
      <c r="V93" s="1"/>
      <c r="W93" s="1"/>
      <c r="X93" s="5"/>
      <c r="Y93" s="5"/>
      <c r="Z93" s="1"/>
      <c r="AA93" s="1"/>
      <c r="AB93" s="1"/>
      <c r="AC93" s="4"/>
      <c r="AD93" s="5"/>
    </row>
    <row r="94" spans="1:30" ht="29.4" thickBot="1">
      <c r="A94" s="1" t="s">
        <v>221</v>
      </c>
      <c r="B94" s="4">
        <v>45522</v>
      </c>
      <c r="C94" s="1" t="s">
        <v>86</v>
      </c>
      <c r="D94" s="1" t="s">
        <v>87</v>
      </c>
      <c r="E94" s="1" t="s">
        <v>117</v>
      </c>
      <c r="F94" s="1" t="s">
        <v>118</v>
      </c>
      <c r="G94" s="1" t="s">
        <v>19</v>
      </c>
      <c r="H94" s="5">
        <v>2</v>
      </c>
      <c r="I94" s="5">
        <v>89.99</v>
      </c>
      <c r="J94" s="1" t="s">
        <v>20</v>
      </c>
      <c r="K94" s="1" t="s">
        <v>63</v>
      </c>
      <c r="L94" s="1" t="s">
        <v>27</v>
      </c>
      <c r="M94" s="4">
        <v>44972</v>
      </c>
      <c r="N94" s="5">
        <v>179.98</v>
      </c>
      <c r="Q94" s="1"/>
      <c r="R94" s="4"/>
      <c r="S94" s="1"/>
      <c r="T94" s="1"/>
      <c r="U94" s="1"/>
      <c r="V94" s="1"/>
      <c r="W94" s="1"/>
      <c r="X94" s="5"/>
      <c r="Y94" s="5"/>
      <c r="Z94" s="1"/>
      <c r="AA94" s="1"/>
      <c r="AB94" s="1"/>
      <c r="AC94" s="4"/>
      <c r="AD94" s="5"/>
    </row>
    <row r="95" spans="1:30" ht="29.4" thickBot="1">
      <c r="A95" s="1" t="s">
        <v>222</v>
      </c>
      <c r="B95" s="4">
        <v>45523</v>
      </c>
      <c r="C95" s="1" t="s">
        <v>196</v>
      </c>
      <c r="D95" s="1" t="s">
        <v>197</v>
      </c>
      <c r="E95" s="1" t="s">
        <v>61</v>
      </c>
      <c r="F95" s="1" t="s">
        <v>62</v>
      </c>
      <c r="G95" s="1" t="s">
        <v>19</v>
      </c>
      <c r="H95" s="5">
        <v>5</v>
      </c>
      <c r="I95" s="5">
        <v>899.99</v>
      </c>
      <c r="J95" s="1" t="s">
        <v>57</v>
      </c>
      <c r="K95" s="1" t="s">
        <v>63</v>
      </c>
      <c r="L95" s="1" t="s">
        <v>22</v>
      </c>
      <c r="M95" s="4">
        <v>44526</v>
      </c>
      <c r="N95" s="5">
        <v>4499.95</v>
      </c>
      <c r="Q95" s="1"/>
      <c r="R95" s="4"/>
      <c r="S95" s="1"/>
      <c r="T95" s="1"/>
      <c r="U95" s="1"/>
      <c r="V95" s="1"/>
      <c r="W95" s="1"/>
      <c r="X95" s="5"/>
      <c r="Y95" s="5"/>
      <c r="Z95" s="1"/>
      <c r="AA95" s="1"/>
      <c r="AB95" s="1"/>
      <c r="AC95" s="4"/>
      <c r="AD95" s="5"/>
    </row>
    <row r="96" spans="1:30" ht="29.4" thickBot="1">
      <c r="A96" s="1" t="s">
        <v>223</v>
      </c>
      <c r="B96" s="4">
        <v>45523</v>
      </c>
      <c r="C96" s="1" t="s">
        <v>108</v>
      </c>
      <c r="D96" s="1" t="s">
        <v>109</v>
      </c>
      <c r="E96" s="1" t="s">
        <v>52</v>
      </c>
      <c r="F96" s="1" t="s">
        <v>53</v>
      </c>
      <c r="G96" s="1" t="s">
        <v>19</v>
      </c>
      <c r="H96" s="5">
        <v>3</v>
      </c>
      <c r="I96" s="5">
        <v>149.99</v>
      </c>
      <c r="J96" s="1" t="s">
        <v>34</v>
      </c>
      <c r="K96" s="1" t="s">
        <v>63</v>
      </c>
      <c r="L96" s="1" t="s">
        <v>22</v>
      </c>
      <c r="M96" s="4">
        <v>44574</v>
      </c>
      <c r="N96" s="5">
        <v>449.97</v>
      </c>
      <c r="Q96" s="1"/>
      <c r="R96" s="4"/>
      <c r="S96" s="1"/>
      <c r="T96" s="1"/>
      <c r="U96" s="1"/>
      <c r="V96" s="1"/>
      <c r="W96" s="1"/>
      <c r="X96" s="5"/>
      <c r="Y96" s="5"/>
      <c r="Z96" s="1"/>
      <c r="AA96" s="1"/>
      <c r="AB96" s="1"/>
      <c r="AC96" s="4"/>
      <c r="AD96" s="5"/>
    </row>
    <row r="97" spans="1:30" ht="29.4" thickBot="1">
      <c r="A97" s="1" t="s">
        <v>224</v>
      </c>
      <c r="B97" s="4">
        <v>45526</v>
      </c>
      <c r="C97" s="1" t="s">
        <v>102</v>
      </c>
      <c r="D97" s="1" t="s">
        <v>103</v>
      </c>
      <c r="E97" s="1" t="s">
        <v>44</v>
      </c>
      <c r="F97" s="1" t="s">
        <v>45</v>
      </c>
      <c r="G97" s="1" t="s">
        <v>46</v>
      </c>
      <c r="H97" s="5">
        <v>5</v>
      </c>
      <c r="I97" s="5">
        <v>149.99</v>
      </c>
      <c r="J97" s="1" t="s">
        <v>26</v>
      </c>
      <c r="K97" s="1" t="s">
        <v>21</v>
      </c>
      <c r="L97" s="1" t="s">
        <v>22</v>
      </c>
      <c r="M97" s="4">
        <v>45310</v>
      </c>
      <c r="N97" s="5">
        <v>749.95</v>
      </c>
      <c r="Q97" s="1"/>
      <c r="R97" s="4"/>
      <c r="S97" s="1"/>
      <c r="T97" s="1"/>
      <c r="U97" s="1"/>
      <c r="V97" s="1"/>
      <c r="W97" s="1"/>
      <c r="X97" s="5"/>
      <c r="Y97" s="5"/>
      <c r="Z97" s="1"/>
      <c r="AA97" s="1"/>
      <c r="AB97" s="1"/>
      <c r="AC97" s="4"/>
      <c r="AD97" s="5"/>
    </row>
    <row r="98" spans="1:30" ht="29.4" thickBot="1">
      <c r="A98" s="1" t="s">
        <v>225</v>
      </c>
      <c r="B98" s="4">
        <v>45528</v>
      </c>
      <c r="C98" s="1" t="s">
        <v>226</v>
      </c>
      <c r="D98" s="1" t="s">
        <v>227</v>
      </c>
      <c r="E98" s="1" t="s">
        <v>114</v>
      </c>
      <c r="F98" s="1" t="s">
        <v>115</v>
      </c>
      <c r="G98" s="1" t="s">
        <v>33</v>
      </c>
      <c r="H98" s="5">
        <v>3</v>
      </c>
      <c r="I98" s="5">
        <v>79.989999999999995</v>
      </c>
      <c r="J98" s="1" t="s">
        <v>20</v>
      </c>
      <c r="K98" s="1" t="s">
        <v>21</v>
      </c>
      <c r="L98" s="1" t="s">
        <v>27</v>
      </c>
      <c r="M98" s="4">
        <v>44779</v>
      </c>
      <c r="N98" s="5">
        <v>239.97</v>
      </c>
      <c r="Q98" s="1"/>
      <c r="R98" s="4"/>
      <c r="S98" s="1"/>
      <c r="T98" s="1"/>
      <c r="U98" s="1"/>
      <c r="V98" s="1"/>
      <c r="W98" s="1"/>
      <c r="X98" s="5"/>
      <c r="Y98" s="5"/>
      <c r="Z98" s="1"/>
      <c r="AA98" s="1"/>
      <c r="AB98" s="1"/>
      <c r="AC98" s="4"/>
      <c r="AD98" s="5"/>
    </row>
    <row r="99" spans="1:30" ht="29.4" thickBot="1">
      <c r="A99" s="1" t="s">
        <v>228</v>
      </c>
      <c r="B99" s="4">
        <v>45528</v>
      </c>
      <c r="C99" s="1" t="s">
        <v>144</v>
      </c>
      <c r="D99" s="1" t="s">
        <v>145</v>
      </c>
      <c r="E99" s="1" t="s">
        <v>17</v>
      </c>
      <c r="F99" s="1" t="s">
        <v>18</v>
      </c>
      <c r="G99" s="1" t="s">
        <v>19</v>
      </c>
      <c r="H99" s="5">
        <v>2</v>
      </c>
      <c r="I99" s="5">
        <v>249.99</v>
      </c>
      <c r="J99" s="1" t="s">
        <v>20</v>
      </c>
      <c r="K99" s="1" t="s">
        <v>35</v>
      </c>
      <c r="L99" s="1" t="s">
        <v>36</v>
      </c>
      <c r="M99" s="4">
        <v>44572</v>
      </c>
      <c r="N99" s="5">
        <v>499.98</v>
      </c>
      <c r="Q99" s="1"/>
      <c r="R99" s="4"/>
      <c r="S99" s="1"/>
      <c r="T99" s="1"/>
      <c r="U99" s="1"/>
      <c r="V99" s="1"/>
      <c r="W99" s="1"/>
      <c r="X99" s="5"/>
      <c r="Y99" s="5"/>
      <c r="Z99" s="1"/>
      <c r="AA99" s="1"/>
      <c r="AB99" s="1"/>
      <c r="AC99" s="4"/>
      <c r="AD99" s="5"/>
    </row>
    <row r="100" spans="1:30" ht="29.4" thickBot="1">
      <c r="A100" s="1" t="s">
        <v>229</v>
      </c>
      <c r="B100" s="4">
        <v>45532</v>
      </c>
      <c r="C100" s="1" t="s">
        <v>196</v>
      </c>
      <c r="D100" s="1" t="s">
        <v>197</v>
      </c>
      <c r="E100" s="1" t="s">
        <v>80</v>
      </c>
      <c r="F100" s="1" t="s">
        <v>81</v>
      </c>
      <c r="G100" s="1" t="s">
        <v>19</v>
      </c>
      <c r="H100" s="5">
        <v>1</v>
      </c>
      <c r="I100" s="5">
        <v>699.99</v>
      </c>
      <c r="J100" s="1" t="s">
        <v>20</v>
      </c>
      <c r="K100" s="1" t="s">
        <v>21</v>
      </c>
      <c r="L100" s="1" t="s">
        <v>27</v>
      </c>
      <c r="M100" s="4">
        <v>44497</v>
      </c>
      <c r="N100" s="5">
        <v>699.99</v>
      </c>
      <c r="Q100" s="1"/>
      <c r="R100" s="4"/>
      <c r="S100" s="1"/>
      <c r="T100" s="1"/>
      <c r="U100" s="1"/>
      <c r="V100" s="1"/>
      <c r="W100" s="1"/>
      <c r="X100" s="5"/>
      <c r="Y100" s="5"/>
      <c r="Z100" s="1"/>
      <c r="AA100" s="1"/>
      <c r="AB100" s="1"/>
      <c r="AC100" s="4"/>
      <c r="AD100" s="5"/>
    </row>
    <row r="101" spans="1:30" ht="29.4" thickBot="1">
      <c r="A101" s="1" t="s">
        <v>230</v>
      </c>
      <c r="B101" s="4">
        <v>45532</v>
      </c>
      <c r="C101" s="1" t="s">
        <v>231</v>
      </c>
      <c r="D101" s="1" t="s">
        <v>232</v>
      </c>
      <c r="E101" s="1" t="s">
        <v>52</v>
      </c>
      <c r="F101" s="1" t="s">
        <v>53</v>
      </c>
      <c r="G101" s="1" t="s">
        <v>19</v>
      </c>
      <c r="H101" s="5">
        <v>3</v>
      </c>
      <c r="I101" s="5">
        <v>149.99</v>
      </c>
      <c r="J101" s="1" t="s">
        <v>20</v>
      </c>
      <c r="K101" s="1" t="s">
        <v>50</v>
      </c>
      <c r="L101" s="1" t="s">
        <v>27</v>
      </c>
      <c r="M101" s="4">
        <v>45212</v>
      </c>
      <c r="N101" s="5">
        <v>449.97</v>
      </c>
      <c r="Q101" s="1"/>
      <c r="R101" s="4"/>
      <c r="S101" s="1"/>
      <c r="T101" s="1"/>
      <c r="U101" s="1"/>
      <c r="V101" s="1"/>
      <c r="W101" s="1"/>
      <c r="X101" s="5"/>
      <c r="Y101" s="5"/>
      <c r="Z101" s="1"/>
      <c r="AA101" s="1"/>
      <c r="AB101" s="1"/>
      <c r="AC101" s="4"/>
      <c r="AD101" s="5"/>
    </row>
    <row r="102" spans="1:30" ht="29.4" thickBot="1">
      <c r="A102" s="1" t="s">
        <v>233</v>
      </c>
      <c r="B102" s="4">
        <v>45534</v>
      </c>
      <c r="C102" s="1" t="s">
        <v>234</v>
      </c>
      <c r="D102" s="1" t="s">
        <v>235</v>
      </c>
      <c r="E102" s="1" t="s">
        <v>80</v>
      </c>
      <c r="F102" s="1" t="s">
        <v>81</v>
      </c>
      <c r="G102" s="1" t="s">
        <v>19</v>
      </c>
      <c r="H102" s="5">
        <v>2</v>
      </c>
      <c r="I102" s="5">
        <v>699.99</v>
      </c>
      <c r="J102" s="1" t="s">
        <v>26</v>
      </c>
      <c r="K102" s="1" t="s">
        <v>40</v>
      </c>
      <c r="L102" s="1" t="s">
        <v>27</v>
      </c>
      <c r="M102" s="4">
        <v>44421</v>
      </c>
      <c r="N102" s="5">
        <v>1399.98</v>
      </c>
      <c r="Q102" s="1"/>
      <c r="R102" s="4"/>
      <c r="S102" s="1"/>
      <c r="T102" s="1"/>
      <c r="U102" s="1"/>
      <c r="V102" s="1"/>
      <c r="W102" s="1"/>
      <c r="X102" s="5"/>
      <c r="Y102" s="5"/>
      <c r="Z102" s="1"/>
      <c r="AA102" s="1"/>
      <c r="AB102" s="1"/>
      <c r="AC102" s="4"/>
      <c r="AD102" s="5"/>
    </row>
    <row r="103" spans="1:30" ht="29.4" thickBot="1">
      <c r="A103" s="1" t="s">
        <v>236</v>
      </c>
      <c r="B103" s="4">
        <v>45537</v>
      </c>
      <c r="C103" s="1" t="s">
        <v>231</v>
      </c>
      <c r="D103" s="1" t="s">
        <v>232</v>
      </c>
      <c r="E103" s="1" t="s">
        <v>17</v>
      </c>
      <c r="F103" s="1" t="s">
        <v>18</v>
      </c>
      <c r="G103" s="1" t="s">
        <v>19</v>
      </c>
      <c r="H103" s="5">
        <v>1</v>
      </c>
      <c r="I103" s="5">
        <v>249.99</v>
      </c>
      <c r="J103" s="1" t="s">
        <v>26</v>
      </c>
      <c r="K103" s="1" t="s">
        <v>50</v>
      </c>
      <c r="L103" s="1" t="s">
        <v>27</v>
      </c>
      <c r="M103" s="4">
        <v>44685</v>
      </c>
      <c r="N103" s="5">
        <v>249.99</v>
      </c>
      <c r="Q103" s="1"/>
      <c r="R103" s="4"/>
      <c r="S103" s="1"/>
      <c r="T103" s="1"/>
      <c r="U103" s="1"/>
      <c r="V103" s="1"/>
      <c r="W103" s="1"/>
      <c r="X103" s="5"/>
      <c r="Y103" s="5"/>
      <c r="Z103" s="1"/>
      <c r="AA103" s="1"/>
      <c r="AB103" s="1"/>
      <c r="AC103" s="4"/>
      <c r="AD103" s="5"/>
    </row>
    <row r="104" spans="1:30" ht="29.4" thickBot="1">
      <c r="A104" s="1" t="s">
        <v>237</v>
      </c>
      <c r="B104" s="4">
        <v>45537</v>
      </c>
      <c r="C104" s="1" t="s">
        <v>15</v>
      </c>
      <c r="D104" s="1" t="s">
        <v>16</v>
      </c>
      <c r="E104" s="1" t="s">
        <v>17</v>
      </c>
      <c r="F104" s="1" t="s">
        <v>18</v>
      </c>
      <c r="G104" s="1" t="s">
        <v>19</v>
      </c>
      <c r="H104" s="5">
        <v>1</v>
      </c>
      <c r="I104" s="5">
        <v>249.99</v>
      </c>
      <c r="J104" s="1" t="s">
        <v>57</v>
      </c>
      <c r="K104" s="1" t="s">
        <v>40</v>
      </c>
      <c r="L104" s="1" t="s">
        <v>27</v>
      </c>
      <c r="M104" s="4">
        <v>45332</v>
      </c>
      <c r="N104" s="5">
        <v>249.99</v>
      </c>
      <c r="Q104" s="1"/>
      <c r="R104" s="4"/>
      <c r="S104" s="1"/>
      <c r="T104" s="1"/>
      <c r="U104" s="1"/>
      <c r="V104" s="1"/>
      <c r="W104" s="1"/>
      <c r="X104" s="5"/>
      <c r="Y104" s="5"/>
      <c r="Z104" s="1"/>
      <c r="AA104" s="1"/>
      <c r="AB104" s="1"/>
      <c r="AC104" s="4"/>
      <c r="AD104" s="5"/>
    </row>
    <row r="105" spans="1:30" ht="29.4" thickBot="1">
      <c r="A105" s="1" t="s">
        <v>238</v>
      </c>
      <c r="B105" s="4">
        <v>45538</v>
      </c>
      <c r="C105" s="1" t="s">
        <v>226</v>
      </c>
      <c r="D105" s="1" t="s">
        <v>227</v>
      </c>
      <c r="E105" s="1" t="s">
        <v>80</v>
      </c>
      <c r="F105" s="1" t="s">
        <v>81</v>
      </c>
      <c r="G105" s="1" t="s">
        <v>19</v>
      </c>
      <c r="H105" s="5">
        <v>2</v>
      </c>
      <c r="I105" s="5">
        <v>699.99</v>
      </c>
      <c r="J105" s="1" t="s">
        <v>57</v>
      </c>
      <c r="K105" s="1" t="s">
        <v>21</v>
      </c>
      <c r="L105" s="1" t="s">
        <v>27</v>
      </c>
      <c r="M105" s="4">
        <v>44870</v>
      </c>
      <c r="N105" s="5">
        <v>1399.98</v>
      </c>
      <c r="Q105" s="1"/>
      <c r="R105" s="4"/>
      <c r="S105" s="1"/>
      <c r="T105" s="1"/>
      <c r="U105" s="1"/>
      <c r="V105" s="1"/>
      <c r="W105" s="1"/>
      <c r="X105" s="5"/>
      <c r="Y105" s="5"/>
      <c r="Z105" s="1"/>
      <c r="AA105" s="1"/>
      <c r="AB105" s="1"/>
      <c r="AC105" s="4"/>
      <c r="AD105" s="5"/>
    </row>
    <row r="106" spans="1:30" ht="29.4" thickBot="1">
      <c r="A106" s="1" t="s">
        <v>239</v>
      </c>
      <c r="B106" s="4">
        <v>45541</v>
      </c>
      <c r="C106" s="1" t="s">
        <v>138</v>
      </c>
      <c r="D106" s="1" t="s">
        <v>139</v>
      </c>
      <c r="E106" s="1" t="s">
        <v>31</v>
      </c>
      <c r="F106" s="1" t="s">
        <v>32</v>
      </c>
      <c r="G106" s="1" t="s">
        <v>33</v>
      </c>
      <c r="H106" s="5">
        <v>3</v>
      </c>
      <c r="I106" s="5">
        <v>59.99</v>
      </c>
      <c r="J106" s="1" t="s">
        <v>26</v>
      </c>
      <c r="K106" s="1" t="s">
        <v>21</v>
      </c>
      <c r="L106" s="1" t="s">
        <v>27</v>
      </c>
      <c r="M106" s="4">
        <v>44717</v>
      </c>
      <c r="N106" s="5">
        <v>179.97</v>
      </c>
      <c r="Q106" s="1"/>
      <c r="R106" s="4"/>
      <c r="S106" s="1"/>
      <c r="T106" s="1"/>
      <c r="U106" s="1"/>
      <c r="V106" s="1"/>
      <c r="W106" s="1"/>
      <c r="X106" s="5"/>
      <c r="Y106" s="5"/>
      <c r="Z106" s="1"/>
      <c r="AA106" s="1"/>
      <c r="AB106" s="1"/>
      <c r="AC106" s="4"/>
      <c r="AD106" s="5"/>
    </row>
    <row r="107" spans="1:30" ht="29.4" thickBot="1">
      <c r="A107" s="1" t="s">
        <v>240</v>
      </c>
      <c r="B107" s="4">
        <v>45544</v>
      </c>
      <c r="C107" s="1" t="s">
        <v>132</v>
      </c>
      <c r="D107" s="1" t="s">
        <v>133</v>
      </c>
      <c r="E107" s="1" t="s">
        <v>31</v>
      </c>
      <c r="F107" s="1" t="s">
        <v>32</v>
      </c>
      <c r="G107" s="1" t="s">
        <v>33</v>
      </c>
      <c r="H107" s="5">
        <v>3</v>
      </c>
      <c r="I107" s="5">
        <v>59.99</v>
      </c>
      <c r="J107" s="1" t="s">
        <v>34</v>
      </c>
      <c r="K107" s="1" t="s">
        <v>63</v>
      </c>
      <c r="L107" s="1" t="s">
        <v>36</v>
      </c>
      <c r="M107" s="4">
        <v>44748</v>
      </c>
      <c r="N107" s="5">
        <v>179.97</v>
      </c>
      <c r="Q107" s="1"/>
      <c r="R107" s="4"/>
      <c r="S107" s="1"/>
      <c r="T107" s="1"/>
      <c r="U107" s="1"/>
      <c r="V107" s="1"/>
      <c r="W107" s="1"/>
      <c r="X107" s="5"/>
      <c r="Y107" s="5"/>
      <c r="Z107" s="1"/>
      <c r="AA107" s="1"/>
      <c r="AB107" s="1"/>
      <c r="AC107" s="4"/>
      <c r="AD107" s="5"/>
    </row>
    <row r="108" spans="1:30" ht="29.4" thickBot="1">
      <c r="A108" s="1" t="s">
        <v>241</v>
      </c>
      <c r="B108" s="4">
        <v>45544</v>
      </c>
      <c r="C108" s="1" t="s">
        <v>141</v>
      </c>
      <c r="D108" s="1" t="s">
        <v>142</v>
      </c>
      <c r="E108" s="1" t="s">
        <v>114</v>
      </c>
      <c r="F108" s="1" t="s">
        <v>115</v>
      </c>
      <c r="G108" s="1" t="s">
        <v>33</v>
      </c>
      <c r="H108" s="5">
        <v>4</v>
      </c>
      <c r="I108" s="5">
        <v>79.989999999999995</v>
      </c>
      <c r="J108" s="1" t="s">
        <v>20</v>
      </c>
      <c r="K108" s="1" t="s">
        <v>40</v>
      </c>
      <c r="L108" s="1" t="s">
        <v>22</v>
      </c>
      <c r="M108" s="4">
        <v>44530</v>
      </c>
      <c r="N108" s="5">
        <v>319.95999999999998</v>
      </c>
      <c r="Q108" s="1"/>
      <c r="R108" s="4"/>
      <c r="S108" s="1"/>
      <c r="T108" s="1"/>
      <c r="U108" s="1"/>
      <c r="V108" s="1"/>
      <c r="W108" s="1"/>
      <c r="X108" s="5"/>
      <c r="Y108" s="5"/>
      <c r="Z108" s="1"/>
      <c r="AA108" s="1"/>
      <c r="AB108" s="1"/>
      <c r="AC108" s="4"/>
      <c r="AD108" s="5"/>
    </row>
    <row r="109" spans="1:30" ht="29.4" thickBot="1">
      <c r="A109" s="1" t="s">
        <v>242</v>
      </c>
      <c r="B109" s="4">
        <v>45545</v>
      </c>
      <c r="C109" s="1" t="s">
        <v>55</v>
      </c>
      <c r="D109" s="1" t="s">
        <v>56</v>
      </c>
      <c r="E109" s="1" t="s">
        <v>114</v>
      </c>
      <c r="F109" s="1" t="s">
        <v>115</v>
      </c>
      <c r="G109" s="1" t="s">
        <v>33</v>
      </c>
      <c r="H109" s="5">
        <v>1</v>
      </c>
      <c r="I109" s="5">
        <v>79.989999999999995</v>
      </c>
      <c r="J109" s="1" t="s">
        <v>20</v>
      </c>
      <c r="K109" s="1" t="s">
        <v>50</v>
      </c>
      <c r="L109" s="1" t="s">
        <v>22</v>
      </c>
      <c r="M109" s="4">
        <v>44693</v>
      </c>
      <c r="N109" s="5">
        <v>79.989999999999995</v>
      </c>
      <c r="Q109" s="1"/>
      <c r="R109" s="4"/>
      <c r="S109" s="1"/>
      <c r="T109" s="1"/>
      <c r="U109" s="1"/>
      <c r="V109" s="1"/>
      <c r="W109" s="1"/>
      <c r="X109" s="5"/>
      <c r="Y109" s="5"/>
      <c r="Z109" s="1"/>
      <c r="AA109" s="1"/>
      <c r="AB109" s="1"/>
      <c r="AC109" s="4"/>
      <c r="AD109" s="5"/>
    </row>
    <row r="110" spans="1:30" ht="29.4" thickBot="1">
      <c r="A110" s="1" t="s">
        <v>243</v>
      </c>
      <c r="B110" s="4">
        <v>45547</v>
      </c>
      <c r="C110" s="1" t="s">
        <v>48</v>
      </c>
      <c r="D110" s="1" t="s">
        <v>49</v>
      </c>
      <c r="E110" s="1" t="s">
        <v>105</v>
      </c>
      <c r="F110" s="1" t="s">
        <v>106</v>
      </c>
      <c r="G110" s="1" t="s">
        <v>46</v>
      </c>
      <c r="H110" s="5">
        <v>3</v>
      </c>
      <c r="I110" s="5">
        <v>299.99</v>
      </c>
      <c r="J110" s="1" t="s">
        <v>26</v>
      </c>
      <c r="K110" s="1" t="s">
        <v>21</v>
      </c>
      <c r="L110" s="1" t="s">
        <v>27</v>
      </c>
      <c r="M110" s="4">
        <v>44494</v>
      </c>
      <c r="N110" s="5">
        <v>899.97</v>
      </c>
      <c r="Q110" s="1"/>
      <c r="R110" s="4"/>
      <c r="S110" s="1"/>
      <c r="T110" s="1"/>
      <c r="U110" s="1"/>
      <c r="V110" s="1"/>
      <c r="W110" s="1"/>
      <c r="X110" s="5"/>
      <c r="Y110" s="5"/>
      <c r="Z110" s="1"/>
      <c r="AA110" s="1"/>
      <c r="AB110" s="1"/>
      <c r="AC110" s="4"/>
      <c r="AD110" s="5"/>
    </row>
    <row r="111" spans="1:30" ht="29.4" thickBot="1">
      <c r="A111" s="1" t="s">
        <v>244</v>
      </c>
      <c r="B111" s="4">
        <v>45548</v>
      </c>
      <c r="C111" s="1" t="s">
        <v>38</v>
      </c>
      <c r="D111" s="1" t="s">
        <v>39</v>
      </c>
      <c r="E111" s="1" t="s">
        <v>117</v>
      </c>
      <c r="F111" s="1" t="s">
        <v>118</v>
      </c>
      <c r="G111" s="1" t="s">
        <v>19</v>
      </c>
      <c r="H111" s="5">
        <v>2</v>
      </c>
      <c r="I111" s="5">
        <v>89.99</v>
      </c>
      <c r="J111" s="1" t="s">
        <v>26</v>
      </c>
      <c r="K111" s="1" t="s">
        <v>35</v>
      </c>
      <c r="L111" s="1" t="s">
        <v>27</v>
      </c>
      <c r="M111" s="4">
        <v>44641</v>
      </c>
      <c r="N111" s="5">
        <v>179.98</v>
      </c>
      <c r="Q111" s="1"/>
      <c r="R111" s="4"/>
      <c r="S111" s="1"/>
      <c r="T111" s="1"/>
      <c r="U111" s="1"/>
      <c r="V111" s="1"/>
      <c r="W111" s="1"/>
      <c r="X111" s="5"/>
      <c r="Y111" s="5"/>
      <c r="Z111" s="1"/>
      <c r="AA111" s="1"/>
      <c r="AB111" s="1"/>
      <c r="AC111" s="4"/>
      <c r="AD111" s="5"/>
    </row>
    <row r="112" spans="1:30" ht="29.4" thickBot="1">
      <c r="A112" s="1" t="s">
        <v>245</v>
      </c>
      <c r="B112" s="4">
        <v>45550</v>
      </c>
      <c r="C112" s="1" t="s">
        <v>246</v>
      </c>
      <c r="D112" s="1" t="s">
        <v>247</v>
      </c>
      <c r="E112" s="1" t="s">
        <v>52</v>
      </c>
      <c r="F112" s="1" t="s">
        <v>53</v>
      </c>
      <c r="G112" s="1" t="s">
        <v>19</v>
      </c>
      <c r="H112" s="5">
        <v>4</v>
      </c>
      <c r="I112" s="5">
        <v>149.99</v>
      </c>
      <c r="J112" s="1" t="s">
        <v>20</v>
      </c>
      <c r="K112" s="1" t="s">
        <v>40</v>
      </c>
      <c r="L112" s="1" t="s">
        <v>22</v>
      </c>
      <c r="M112" s="4">
        <v>44909</v>
      </c>
      <c r="N112" s="5">
        <v>599.96</v>
      </c>
      <c r="Q112" s="1"/>
      <c r="R112" s="4"/>
      <c r="S112" s="1"/>
      <c r="T112" s="1"/>
      <c r="U112" s="1"/>
      <c r="V112" s="1"/>
      <c r="W112" s="1"/>
      <c r="X112" s="5"/>
      <c r="Y112" s="5"/>
      <c r="Z112" s="1"/>
      <c r="AA112" s="1"/>
      <c r="AB112" s="1"/>
      <c r="AC112" s="4"/>
      <c r="AD112" s="5"/>
    </row>
    <row r="113" spans="1:30" ht="29.4" thickBot="1">
      <c r="A113" s="1" t="s">
        <v>248</v>
      </c>
      <c r="B113" s="4">
        <v>45551</v>
      </c>
      <c r="C113" s="1" t="s">
        <v>65</v>
      </c>
      <c r="D113" s="1" t="s">
        <v>66</v>
      </c>
      <c r="E113" s="1" t="s">
        <v>17</v>
      </c>
      <c r="F113" s="1" t="s">
        <v>18</v>
      </c>
      <c r="G113" s="1" t="s">
        <v>19</v>
      </c>
      <c r="H113" s="5">
        <v>2</v>
      </c>
      <c r="I113" s="5">
        <v>249.99</v>
      </c>
      <c r="J113" s="1" t="s">
        <v>34</v>
      </c>
      <c r="K113" s="1" t="s">
        <v>35</v>
      </c>
      <c r="L113" s="1" t="s">
        <v>22</v>
      </c>
      <c r="M113" s="4">
        <v>44993</v>
      </c>
      <c r="N113" s="5">
        <v>499.98</v>
      </c>
      <c r="Q113" s="1"/>
      <c r="R113" s="4"/>
      <c r="S113" s="1"/>
      <c r="T113" s="1"/>
      <c r="U113" s="1"/>
      <c r="V113" s="1"/>
      <c r="W113" s="1"/>
      <c r="X113" s="5"/>
      <c r="Y113" s="5"/>
      <c r="Z113" s="1"/>
      <c r="AA113" s="1"/>
      <c r="AB113" s="1"/>
      <c r="AC113" s="4"/>
      <c r="AD113" s="5"/>
    </row>
    <row r="114" spans="1:30" ht="29.4" thickBot="1">
      <c r="A114" s="1" t="s">
        <v>249</v>
      </c>
      <c r="B114" s="4">
        <v>45551</v>
      </c>
      <c r="C114" s="1" t="s">
        <v>154</v>
      </c>
      <c r="D114" s="1" t="s">
        <v>155</v>
      </c>
      <c r="E114" s="1" t="s">
        <v>126</v>
      </c>
      <c r="F114" s="1" t="s">
        <v>127</v>
      </c>
      <c r="G114" s="1" t="s">
        <v>46</v>
      </c>
      <c r="H114" s="5">
        <v>4</v>
      </c>
      <c r="I114" s="5">
        <v>199.99</v>
      </c>
      <c r="J114" s="1" t="s">
        <v>57</v>
      </c>
      <c r="K114" s="1" t="s">
        <v>63</v>
      </c>
      <c r="L114" s="1" t="s">
        <v>22</v>
      </c>
      <c r="M114" s="4">
        <v>44458</v>
      </c>
      <c r="N114" s="5">
        <v>799.96</v>
      </c>
      <c r="Q114" s="1"/>
      <c r="R114" s="4"/>
      <c r="S114" s="1"/>
      <c r="T114" s="1"/>
      <c r="U114" s="1"/>
      <c r="V114" s="1"/>
      <c r="W114" s="1"/>
      <c r="X114" s="5"/>
      <c r="Y114" s="5"/>
      <c r="Z114" s="1"/>
      <c r="AA114" s="1"/>
      <c r="AB114" s="1"/>
      <c r="AC114" s="4"/>
      <c r="AD114" s="5"/>
    </row>
    <row r="115" spans="1:30" ht="29.4" thickBot="1">
      <c r="A115" s="1" t="s">
        <v>250</v>
      </c>
      <c r="B115" s="4">
        <v>45554</v>
      </c>
      <c r="C115" s="1" t="s">
        <v>147</v>
      </c>
      <c r="D115" s="1" t="s">
        <v>148</v>
      </c>
      <c r="E115" s="1" t="s">
        <v>117</v>
      </c>
      <c r="F115" s="1" t="s">
        <v>118</v>
      </c>
      <c r="G115" s="1" t="s">
        <v>19</v>
      </c>
      <c r="H115" s="5">
        <v>5</v>
      </c>
      <c r="I115" s="5">
        <v>89.99</v>
      </c>
      <c r="J115" s="1" t="s">
        <v>26</v>
      </c>
      <c r="K115" s="1" t="s">
        <v>63</v>
      </c>
      <c r="L115" s="1" t="s">
        <v>27</v>
      </c>
      <c r="M115" s="4">
        <v>44446</v>
      </c>
      <c r="N115" s="5">
        <v>449.95</v>
      </c>
      <c r="Q115" s="1"/>
      <c r="R115" s="4"/>
      <c r="S115" s="1"/>
      <c r="T115" s="1"/>
      <c r="U115" s="1"/>
      <c r="V115" s="1"/>
      <c r="W115" s="1"/>
      <c r="X115" s="5"/>
      <c r="Y115" s="5"/>
      <c r="Z115" s="1"/>
      <c r="AA115" s="1"/>
      <c r="AB115" s="1"/>
      <c r="AC115" s="4"/>
      <c r="AD115" s="5"/>
    </row>
    <row r="116" spans="1:30" ht="29.4" thickBot="1">
      <c r="A116" s="1" t="s">
        <v>251</v>
      </c>
      <c r="B116" s="4">
        <v>45554</v>
      </c>
      <c r="C116" s="1" t="s">
        <v>252</v>
      </c>
      <c r="D116" s="1" t="s">
        <v>253</v>
      </c>
      <c r="E116" s="1" t="s">
        <v>52</v>
      </c>
      <c r="F116" s="1" t="s">
        <v>53</v>
      </c>
      <c r="G116" s="1" t="s">
        <v>19</v>
      </c>
      <c r="H116" s="5">
        <v>1</v>
      </c>
      <c r="I116" s="5">
        <v>149.99</v>
      </c>
      <c r="J116" s="1" t="s">
        <v>34</v>
      </c>
      <c r="K116" s="1" t="s">
        <v>63</v>
      </c>
      <c r="L116" s="1" t="s">
        <v>36</v>
      </c>
      <c r="M116" s="4">
        <v>44482</v>
      </c>
      <c r="N116" s="5">
        <v>149.99</v>
      </c>
      <c r="Q116" s="1"/>
      <c r="R116" s="4"/>
      <c r="S116" s="1"/>
      <c r="T116" s="1"/>
      <c r="U116" s="1"/>
      <c r="V116" s="1"/>
      <c r="W116" s="1"/>
      <c r="X116" s="5"/>
      <c r="Y116" s="5"/>
      <c r="Z116" s="1"/>
      <c r="AA116" s="1"/>
      <c r="AB116" s="1"/>
      <c r="AC116" s="4"/>
      <c r="AD116" s="5"/>
    </row>
    <row r="117" spans="1:30" ht="43.8" thickBot="1">
      <c r="A117" s="1" t="s">
        <v>254</v>
      </c>
      <c r="B117" s="4">
        <v>45554</v>
      </c>
      <c r="C117" s="1" t="s">
        <v>72</v>
      </c>
      <c r="D117" s="1" t="s">
        <v>73</v>
      </c>
      <c r="E117" s="1" t="s">
        <v>80</v>
      </c>
      <c r="F117" s="1" t="s">
        <v>81</v>
      </c>
      <c r="G117" s="1" t="s">
        <v>19</v>
      </c>
      <c r="H117" s="5">
        <v>4</v>
      </c>
      <c r="I117" s="5">
        <v>699.99</v>
      </c>
      <c r="J117" s="1" t="s">
        <v>34</v>
      </c>
      <c r="K117" s="1" t="s">
        <v>35</v>
      </c>
      <c r="L117" s="1" t="s">
        <v>22</v>
      </c>
      <c r="M117" s="4">
        <v>44618</v>
      </c>
      <c r="N117" s="5">
        <v>2799.96</v>
      </c>
      <c r="Q117" s="1"/>
      <c r="R117" s="4"/>
      <c r="S117" s="1"/>
      <c r="T117" s="1"/>
      <c r="U117" s="1"/>
      <c r="V117" s="1"/>
      <c r="W117" s="1"/>
      <c r="X117" s="5"/>
      <c r="Y117" s="5"/>
      <c r="Z117" s="1"/>
      <c r="AA117" s="1"/>
      <c r="AB117" s="1"/>
      <c r="AC117" s="4"/>
      <c r="AD117" s="5"/>
    </row>
    <row r="118" spans="1:30" ht="29.4" thickBot="1">
      <c r="A118" s="1" t="s">
        <v>255</v>
      </c>
      <c r="B118" s="4">
        <v>45559</v>
      </c>
      <c r="C118" s="1" t="s">
        <v>234</v>
      </c>
      <c r="D118" s="1" t="s">
        <v>235</v>
      </c>
      <c r="E118" s="1" t="s">
        <v>61</v>
      </c>
      <c r="F118" s="1" t="s">
        <v>62</v>
      </c>
      <c r="G118" s="1" t="s">
        <v>19</v>
      </c>
      <c r="H118" s="5">
        <v>3</v>
      </c>
      <c r="I118" s="5">
        <v>899.99</v>
      </c>
      <c r="J118" s="1" t="s">
        <v>26</v>
      </c>
      <c r="K118" s="1" t="s">
        <v>40</v>
      </c>
      <c r="L118" s="1" t="s">
        <v>36</v>
      </c>
      <c r="M118" s="4">
        <v>45157</v>
      </c>
      <c r="N118" s="5">
        <v>2699.97</v>
      </c>
      <c r="Q118" s="1"/>
      <c r="R118" s="4"/>
      <c r="S118" s="1"/>
      <c r="T118" s="1"/>
      <c r="U118" s="1"/>
      <c r="V118" s="1"/>
      <c r="W118" s="1"/>
      <c r="X118" s="5"/>
      <c r="Y118" s="5"/>
      <c r="Z118" s="1"/>
      <c r="AA118" s="1"/>
      <c r="AB118" s="1"/>
      <c r="AC118" s="4"/>
      <c r="AD118" s="5"/>
    </row>
    <row r="119" spans="1:30" ht="29.4" thickBot="1">
      <c r="A119" s="1" t="s">
        <v>256</v>
      </c>
      <c r="B119" s="4">
        <v>45560</v>
      </c>
      <c r="C119" s="1" t="s">
        <v>112</v>
      </c>
      <c r="D119" s="1" t="s">
        <v>113</v>
      </c>
      <c r="E119" s="1" t="s">
        <v>44</v>
      </c>
      <c r="F119" s="1" t="s">
        <v>45</v>
      </c>
      <c r="G119" s="1" t="s">
        <v>46</v>
      </c>
      <c r="H119" s="5">
        <v>3</v>
      </c>
      <c r="I119" s="5">
        <v>149.99</v>
      </c>
      <c r="J119" s="1" t="s">
        <v>34</v>
      </c>
      <c r="K119" s="1" t="s">
        <v>63</v>
      </c>
      <c r="L119" s="1" t="s">
        <v>22</v>
      </c>
      <c r="M119" s="4">
        <v>44886</v>
      </c>
      <c r="N119" s="5">
        <v>449.97</v>
      </c>
      <c r="Q119" s="1"/>
      <c r="R119" s="4"/>
      <c r="S119" s="1"/>
      <c r="T119" s="1"/>
      <c r="U119" s="1"/>
      <c r="V119" s="1"/>
      <c r="W119" s="1"/>
      <c r="X119" s="5"/>
      <c r="Y119" s="5"/>
      <c r="Z119" s="1"/>
      <c r="AA119" s="1"/>
      <c r="AB119" s="1"/>
      <c r="AC119" s="4"/>
      <c r="AD119" s="5"/>
    </row>
    <row r="120" spans="1:30" ht="29.4" thickBot="1">
      <c r="A120" s="1" t="s">
        <v>257</v>
      </c>
      <c r="B120" s="4">
        <v>45563</v>
      </c>
      <c r="C120" s="1" t="s">
        <v>99</v>
      </c>
      <c r="D120" s="1" t="s">
        <v>100</v>
      </c>
      <c r="E120" s="1" t="s">
        <v>105</v>
      </c>
      <c r="F120" s="1" t="s">
        <v>106</v>
      </c>
      <c r="G120" s="1" t="s">
        <v>46</v>
      </c>
      <c r="H120" s="5">
        <v>2</v>
      </c>
      <c r="I120" s="5">
        <v>299.99</v>
      </c>
      <c r="J120" s="1" t="s">
        <v>57</v>
      </c>
      <c r="K120" s="1" t="s">
        <v>21</v>
      </c>
      <c r="L120" s="1" t="s">
        <v>22</v>
      </c>
      <c r="M120" s="4">
        <v>44569</v>
      </c>
      <c r="N120" s="5">
        <v>599.98</v>
      </c>
      <c r="Q120" s="1"/>
      <c r="R120" s="4"/>
      <c r="S120" s="1"/>
      <c r="T120" s="1"/>
      <c r="U120" s="1"/>
      <c r="V120" s="1"/>
      <c r="W120" s="1"/>
      <c r="X120" s="5"/>
      <c r="Y120" s="5"/>
      <c r="Z120" s="1"/>
      <c r="AA120" s="1"/>
      <c r="AB120" s="1"/>
      <c r="AC120" s="4"/>
      <c r="AD120" s="5"/>
    </row>
    <row r="121" spans="1:30" ht="29.4" thickBot="1">
      <c r="A121" s="1" t="s">
        <v>258</v>
      </c>
      <c r="B121" s="4">
        <v>45564</v>
      </c>
      <c r="C121" s="1" t="s">
        <v>259</v>
      </c>
      <c r="D121" s="1" t="s">
        <v>260</v>
      </c>
      <c r="E121" s="1" t="s">
        <v>126</v>
      </c>
      <c r="F121" s="1" t="s">
        <v>127</v>
      </c>
      <c r="G121" s="1" t="s">
        <v>46</v>
      </c>
      <c r="H121" s="5">
        <v>1</v>
      </c>
      <c r="I121" s="5">
        <v>199.99</v>
      </c>
      <c r="J121" s="1" t="s">
        <v>57</v>
      </c>
      <c r="K121" s="1" t="s">
        <v>63</v>
      </c>
      <c r="L121" s="1" t="s">
        <v>36</v>
      </c>
      <c r="M121" s="4">
        <v>44953</v>
      </c>
      <c r="N121" s="5">
        <v>199.99</v>
      </c>
      <c r="Q121" s="1"/>
      <c r="R121" s="4"/>
      <c r="S121" s="1"/>
      <c r="T121" s="1"/>
      <c r="U121" s="1"/>
      <c r="V121" s="1"/>
      <c r="W121" s="1"/>
      <c r="X121" s="5"/>
      <c r="Y121" s="5"/>
      <c r="Z121" s="1"/>
      <c r="AA121" s="1"/>
      <c r="AB121" s="1"/>
      <c r="AC121" s="4"/>
      <c r="AD121" s="5"/>
    </row>
    <row r="122" spans="1:30" ht="29.4" thickBot="1">
      <c r="A122" s="1" t="s">
        <v>261</v>
      </c>
      <c r="B122" s="4">
        <v>45566</v>
      </c>
      <c r="C122" s="1" t="s">
        <v>42</v>
      </c>
      <c r="D122" s="1" t="s">
        <v>43</v>
      </c>
      <c r="E122" s="1" t="s">
        <v>105</v>
      </c>
      <c r="F122" s="1" t="s">
        <v>106</v>
      </c>
      <c r="G122" s="1" t="s">
        <v>46</v>
      </c>
      <c r="H122" s="5">
        <v>4</v>
      </c>
      <c r="I122" s="5">
        <v>299.99</v>
      </c>
      <c r="J122" s="1" t="s">
        <v>20</v>
      </c>
      <c r="K122" s="1" t="s">
        <v>21</v>
      </c>
      <c r="L122" s="1" t="s">
        <v>27</v>
      </c>
      <c r="M122" s="4">
        <v>44460</v>
      </c>
      <c r="N122" s="5">
        <v>1199.96</v>
      </c>
      <c r="Q122" s="1"/>
      <c r="R122" s="4"/>
      <c r="S122" s="1"/>
      <c r="T122" s="1"/>
      <c r="U122" s="1"/>
      <c r="V122" s="1"/>
      <c r="W122" s="1"/>
      <c r="X122" s="5"/>
      <c r="Y122" s="5"/>
      <c r="Z122" s="1"/>
      <c r="AA122" s="1"/>
      <c r="AB122" s="1"/>
      <c r="AC122" s="4"/>
      <c r="AD122" s="5"/>
    </row>
    <row r="123" spans="1:30" ht="29.4" thickBot="1">
      <c r="A123" s="1" t="s">
        <v>262</v>
      </c>
      <c r="B123" s="4">
        <v>45572</v>
      </c>
      <c r="C123" s="1" t="s">
        <v>89</v>
      </c>
      <c r="D123" s="1" t="s">
        <v>90</v>
      </c>
      <c r="E123" s="1" t="s">
        <v>31</v>
      </c>
      <c r="F123" s="1" t="s">
        <v>32</v>
      </c>
      <c r="G123" s="1" t="s">
        <v>33</v>
      </c>
      <c r="H123" s="5">
        <v>2</v>
      </c>
      <c r="I123" s="5">
        <v>59.99</v>
      </c>
      <c r="J123" s="1" t="s">
        <v>26</v>
      </c>
      <c r="K123" s="1" t="s">
        <v>21</v>
      </c>
      <c r="L123" s="1" t="s">
        <v>22</v>
      </c>
      <c r="M123" s="4">
        <v>44579</v>
      </c>
      <c r="N123" s="5">
        <v>119.98</v>
      </c>
      <c r="Q123" s="1"/>
      <c r="R123" s="4"/>
      <c r="S123" s="1"/>
      <c r="T123" s="1"/>
      <c r="U123" s="1"/>
      <c r="V123" s="1"/>
      <c r="W123" s="1"/>
      <c r="X123" s="5"/>
      <c r="Y123" s="5"/>
      <c r="Z123" s="1"/>
      <c r="AA123" s="1"/>
      <c r="AB123" s="1"/>
      <c r="AC123" s="4"/>
      <c r="AD123" s="5"/>
    </row>
    <row r="124" spans="1:30" ht="29.4" thickBot="1">
      <c r="A124" s="1" t="s">
        <v>263</v>
      </c>
      <c r="B124" s="4">
        <v>45572</v>
      </c>
      <c r="C124" s="1" t="s">
        <v>234</v>
      </c>
      <c r="D124" s="1" t="s">
        <v>235</v>
      </c>
      <c r="E124" s="1" t="s">
        <v>52</v>
      </c>
      <c r="F124" s="1" t="s">
        <v>53</v>
      </c>
      <c r="G124" s="1" t="s">
        <v>19</v>
      </c>
      <c r="H124" s="5">
        <v>4</v>
      </c>
      <c r="I124" s="5">
        <v>149.99</v>
      </c>
      <c r="J124" s="1" t="s">
        <v>26</v>
      </c>
      <c r="K124" s="1" t="s">
        <v>40</v>
      </c>
      <c r="L124" s="1" t="s">
        <v>27</v>
      </c>
      <c r="M124" s="4">
        <v>45076</v>
      </c>
      <c r="N124" s="5">
        <v>599.96</v>
      </c>
      <c r="Q124" s="1"/>
      <c r="R124" s="4"/>
      <c r="S124" s="1"/>
      <c r="T124" s="1"/>
      <c r="U124" s="1"/>
      <c r="V124" s="1"/>
      <c r="W124" s="1"/>
      <c r="X124" s="5"/>
      <c r="Y124" s="5"/>
      <c r="Z124" s="1"/>
      <c r="AA124" s="1"/>
      <c r="AB124" s="1"/>
      <c r="AC124" s="4"/>
      <c r="AD124" s="5"/>
    </row>
    <row r="125" spans="1:30" ht="29.4" thickBot="1">
      <c r="A125" s="1" t="s">
        <v>264</v>
      </c>
      <c r="B125" s="4">
        <v>45573</v>
      </c>
      <c r="C125" s="1" t="s">
        <v>211</v>
      </c>
      <c r="D125" s="1" t="s">
        <v>212</v>
      </c>
      <c r="E125" s="1" t="s">
        <v>80</v>
      </c>
      <c r="F125" s="1" t="s">
        <v>81</v>
      </c>
      <c r="G125" s="1" t="s">
        <v>19</v>
      </c>
      <c r="H125" s="5">
        <v>2</v>
      </c>
      <c r="I125" s="5">
        <v>699.99</v>
      </c>
      <c r="J125" s="1" t="s">
        <v>57</v>
      </c>
      <c r="K125" s="1" t="s">
        <v>63</v>
      </c>
      <c r="L125" s="1" t="s">
        <v>27</v>
      </c>
      <c r="M125" s="4">
        <v>45274</v>
      </c>
      <c r="N125" s="5">
        <v>1399.98</v>
      </c>
      <c r="Q125" s="1"/>
      <c r="R125" s="4"/>
      <c r="S125" s="1"/>
      <c r="T125" s="1"/>
      <c r="U125" s="1"/>
      <c r="V125" s="1"/>
      <c r="W125" s="1"/>
      <c r="X125" s="5"/>
      <c r="Y125" s="5"/>
      <c r="Z125" s="1"/>
      <c r="AA125" s="1"/>
      <c r="AB125" s="1"/>
      <c r="AC125" s="4"/>
      <c r="AD125" s="5"/>
    </row>
    <row r="126" spans="1:30" ht="29.4" thickBot="1">
      <c r="A126" s="1" t="s">
        <v>265</v>
      </c>
      <c r="B126" s="4">
        <v>45573</v>
      </c>
      <c r="C126" s="1" t="s">
        <v>231</v>
      </c>
      <c r="D126" s="1" t="s">
        <v>232</v>
      </c>
      <c r="E126" s="1" t="s">
        <v>44</v>
      </c>
      <c r="F126" s="1" t="s">
        <v>45</v>
      </c>
      <c r="G126" s="1" t="s">
        <v>46</v>
      </c>
      <c r="H126" s="5">
        <v>3</v>
      </c>
      <c r="I126" s="5">
        <v>149.99</v>
      </c>
      <c r="J126" s="1" t="s">
        <v>26</v>
      </c>
      <c r="K126" s="1" t="s">
        <v>35</v>
      </c>
      <c r="L126" s="1" t="s">
        <v>36</v>
      </c>
      <c r="M126" s="4">
        <v>44940</v>
      </c>
      <c r="N126" s="5">
        <v>449.97</v>
      </c>
      <c r="Q126" s="1"/>
      <c r="R126" s="4"/>
      <c r="S126" s="1"/>
      <c r="T126" s="1"/>
      <c r="U126" s="1"/>
      <c r="V126" s="1"/>
      <c r="W126" s="1"/>
      <c r="X126" s="5"/>
      <c r="Y126" s="5"/>
      <c r="Z126" s="1"/>
      <c r="AA126" s="1"/>
      <c r="AB126" s="1"/>
      <c r="AC126" s="4"/>
      <c r="AD126" s="5"/>
    </row>
    <row r="127" spans="1:30" ht="29.4" thickBot="1">
      <c r="A127" s="1" t="s">
        <v>266</v>
      </c>
      <c r="B127" s="4">
        <v>45576</v>
      </c>
      <c r="C127" s="1" t="s">
        <v>147</v>
      </c>
      <c r="D127" s="1" t="s">
        <v>148</v>
      </c>
      <c r="E127" s="1" t="s">
        <v>105</v>
      </c>
      <c r="F127" s="1" t="s">
        <v>106</v>
      </c>
      <c r="G127" s="1" t="s">
        <v>46</v>
      </c>
      <c r="H127" s="5">
        <v>3</v>
      </c>
      <c r="I127" s="5">
        <v>299.99</v>
      </c>
      <c r="J127" s="1" t="s">
        <v>26</v>
      </c>
      <c r="K127" s="1" t="s">
        <v>21</v>
      </c>
      <c r="L127" s="1" t="s">
        <v>36</v>
      </c>
      <c r="M127" s="4">
        <v>45174</v>
      </c>
      <c r="N127" s="5">
        <v>899.97</v>
      </c>
      <c r="Q127" s="1"/>
      <c r="R127" s="4"/>
      <c r="S127" s="1"/>
      <c r="T127" s="1"/>
      <c r="U127" s="1"/>
      <c r="V127" s="1"/>
      <c r="W127" s="1"/>
      <c r="X127" s="5"/>
      <c r="Y127" s="5"/>
      <c r="Z127" s="1"/>
      <c r="AA127" s="1"/>
      <c r="AB127" s="1"/>
      <c r="AC127" s="4"/>
      <c r="AD127" s="5"/>
    </row>
    <row r="128" spans="1:30" ht="29.4" thickBot="1">
      <c r="A128" s="1" t="s">
        <v>267</v>
      </c>
      <c r="B128" s="4">
        <v>45579</v>
      </c>
      <c r="C128" s="1" t="s">
        <v>83</v>
      </c>
      <c r="D128" s="1" t="s">
        <v>84</v>
      </c>
      <c r="E128" s="1" t="s">
        <v>61</v>
      </c>
      <c r="F128" s="1" t="s">
        <v>62</v>
      </c>
      <c r="G128" s="1" t="s">
        <v>19</v>
      </c>
      <c r="H128" s="5">
        <v>3</v>
      </c>
      <c r="I128" s="5">
        <v>899.99</v>
      </c>
      <c r="J128" s="1" t="s">
        <v>34</v>
      </c>
      <c r="K128" s="1" t="s">
        <v>50</v>
      </c>
      <c r="L128" s="1" t="s">
        <v>22</v>
      </c>
      <c r="M128" s="4">
        <v>45215</v>
      </c>
      <c r="N128" s="5">
        <v>2699.97</v>
      </c>
      <c r="Q128" s="1"/>
      <c r="R128" s="4"/>
      <c r="S128" s="1"/>
      <c r="T128" s="1"/>
      <c r="U128" s="1"/>
      <c r="V128" s="1"/>
      <c r="W128" s="1"/>
      <c r="X128" s="5"/>
      <c r="Y128" s="5"/>
      <c r="Z128" s="1"/>
      <c r="AA128" s="1"/>
      <c r="AB128" s="1"/>
      <c r="AC128" s="4"/>
      <c r="AD128" s="5"/>
    </row>
    <row r="129" spans="1:30" ht="29.4" thickBot="1">
      <c r="A129" s="1" t="s">
        <v>268</v>
      </c>
      <c r="B129" s="4">
        <v>45581</v>
      </c>
      <c r="C129" s="1" t="s">
        <v>96</v>
      </c>
      <c r="D129" s="1" t="s">
        <v>97</v>
      </c>
      <c r="E129" s="1" t="s">
        <v>80</v>
      </c>
      <c r="F129" s="1" t="s">
        <v>81</v>
      </c>
      <c r="G129" s="1" t="s">
        <v>19</v>
      </c>
      <c r="H129" s="5">
        <v>5</v>
      </c>
      <c r="I129" s="5">
        <v>699.99</v>
      </c>
      <c r="J129" s="1" t="s">
        <v>20</v>
      </c>
      <c r="K129" s="1" t="s">
        <v>63</v>
      </c>
      <c r="L129" s="1" t="s">
        <v>36</v>
      </c>
      <c r="M129" s="4">
        <v>45008</v>
      </c>
      <c r="N129" s="5">
        <v>3499.95</v>
      </c>
      <c r="Q129" s="1"/>
      <c r="R129" s="4"/>
      <c r="S129" s="1"/>
      <c r="T129" s="1"/>
      <c r="U129" s="1"/>
      <c r="V129" s="1"/>
      <c r="W129" s="1"/>
      <c r="X129" s="5"/>
      <c r="Y129" s="5"/>
      <c r="Z129" s="1"/>
      <c r="AA129" s="1"/>
      <c r="AB129" s="1"/>
      <c r="AC129" s="4"/>
      <c r="AD129" s="5"/>
    </row>
    <row r="130" spans="1:30" ht="29.4" thickBot="1">
      <c r="A130" s="1" t="s">
        <v>269</v>
      </c>
      <c r="B130" s="4">
        <v>45581</v>
      </c>
      <c r="C130" s="1" t="s">
        <v>171</v>
      </c>
      <c r="D130" s="1" t="s">
        <v>172</v>
      </c>
      <c r="E130" s="1" t="s">
        <v>80</v>
      </c>
      <c r="F130" s="1" t="s">
        <v>81</v>
      </c>
      <c r="G130" s="1" t="s">
        <v>19</v>
      </c>
      <c r="H130" s="5">
        <v>4</v>
      </c>
      <c r="I130" s="5">
        <v>699.99</v>
      </c>
      <c r="J130" s="1" t="s">
        <v>26</v>
      </c>
      <c r="K130" s="1" t="s">
        <v>21</v>
      </c>
      <c r="L130" s="1" t="s">
        <v>22</v>
      </c>
      <c r="M130" s="4">
        <v>45385</v>
      </c>
      <c r="N130" s="5">
        <v>2799.96</v>
      </c>
      <c r="Q130" s="1"/>
      <c r="R130" s="4"/>
      <c r="S130" s="1"/>
      <c r="T130" s="1"/>
      <c r="U130" s="1"/>
      <c r="V130" s="1"/>
      <c r="W130" s="1"/>
      <c r="X130" s="5"/>
      <c r="Y130" s="5"/>
      <c r="Z130" s="1"/>
      <c r="AA130" s="1"/>
      <c r="AB130" s="1"/>
      <c r="AC130" s="4"/>
      <c r="AD130" s="5"/>
    </row>
    <row r="131" spans="1:30" ht="29.4" thickBot="1">
      <c r="A131" s="1" t="s">
        <v>270</v>
      </c>
      <c r="B131" s="4">
        <v>45581</v>
      </c>
      <c r="C131" s="1" t="s">
        <v>150</v>
      </c>
      <c r="D131" s="1" t="s">
        <v>151</v>
      </c>
      <c r="E131" s="1" t="s">
        <v>61</v>
      </c>
      <c r="F131" s="1" t="s">
        <v>62</v>
      </c>
      <c r="G131" s="1" t="s">
        <v>19</v>
      </c>
      <c r="H131" s="5">
        <v>1</v>
      </c>
      <c r="I131" s="5">
        <v>899.99</v>
      </c>
      <c r="J131" s="1" t="s">
        <v>26</v>
      </c>
      <c r="K131" s="1" t="s">
        <v>63</v>
      </c>
      <c r="L131" s="1" t="s">
        <v>36</v>
      </c>
      <c r="M131" s="4">
        <v>45369</v>
      </c>
      <c r="N131" s="5">
        <v>899.99</v>
      </c>
      <c r="Q131" s="1"/>
      <c r="R131" s="4"/>
      <c r="S131" s="1"/>
      <c r="T131" s="1"/>
      <c r="U131" s="1"/>
      <c r="V131" s="1"/>
      <c r="W131" s="1"/>
      <c r="X131" s="5"/>
      <c r="Y131" s="5"/>
      <c r="Z131" s="1"/>
      <c r="AA131" s="1"/>
      <c r="AB131" s="1"/>
      <c r="AC131" s="4"/>
      <c r="AD131" s="5"/>
    </row>
    <row r="132" spans="1:30" ht="29.4" thickBot="1">
      <c r="A132" s="1" t="s">
        <v>271</v>
      </c>
      <c r="B132" s="4">
        <v>45583</v>
      </c>
      <c r="C132" s="1" t="s">
        <v>226</v>
      </c>
      <c r="D132" s="1" t="s">
        <v>227</v>
      </c>
      <c r="E132" s="1" t="s">
        <v>52</v>
      </c>
      <c r="F132" s="1" t="s">
        <v>53</v>
      </c>
      <c r="G132" s="1" t="s">
        <v>19</v>
      </c>
      <c r="H132" s="5">
        <v>2</v>
      </c>
      <c r="I132" s="5">
        <v>149.99</v>
      </c>
      <c r="J132" s="1" t="s">
        <v>26</v>
      </c>
      <c r="K132" s="1" t="s">
        <v>50</v>
      </c>
      <c r="L132" s="1" t="s">
        <v>22</v>
      </c>
      <c r="M132" s="4">
        <v>44916</v>
      </c>
      <c r="N132" s="5">
        <v>299.98</v>
      </c>
      <c r="Q132" s="1"/>
      <c r="R132" s="4"/>
      <c r="S132" s="1"/>
      <c r="T132" s="1"/>
      <c r="U132" s="1"/>
      <c r="V132" s="1"/>
      <c r="W132" s="1"/>
      <c r="X132" s="5"/>
      <c r="Y132" s="5"/>
      <c r="Z132" s="1"/>
      <c r="AA132" s="1"/>
      <c r="AB132" s="1"/>
      <c r="AC132" s="4"/>
      <c r="AD132" s="5"/>
    </row>
    <row r="133" spans="1:30" ht="29.4" thickBot="1">
      <c r="A133" s="1" t="s">
        <v>272</v>
      </c>
      <c r="B133" s="4">
        <v>45586</v>
      </c>
      <c r="C133" s="1" t="s">
        <v>226</v>
      </c>
      <c r="D133" s="1" t="s">
        <v>227</v>
      </c>
      <c r="E133" s="1" t="s">
        <v>117</v>
      </c>
      <c r="F133" s="1" t="s">
        <v>118</v>
      </c>
      <c r="G133" s="1" t="s">
        <v>19</v>
      </c>
      <c r="H133" s="5">
        <v>3</v>
      </c>
      <c r="I133" s="5">
        <v>89.99</v>
      </c>
      <c r="J133" s="1" t="s">
        <v>34</v>
      </c>
      <c r="K133" s="1" t="s">
        <v>21</v>
      </c>
      <c r="L133" s="1" t="s">
        <v>22</v>
      </c>
      <c r="M133" s="4">
        <v>44551</v>
      </c>
      <c r="N133" s="5">
        <v>269.97000000000003</v>
      </c>
      <c r="Q133" s="1"/>
      <c r="R133" s="4"/>
      <c r="S133" s="1"/>
      <c r="T133" s="1"/>
      <c r="U133" s="1"/>
      <c r="V133" s="1"/>
      <c r="W133" s="1"/>
      <c r="X133" s="5"/>
      <c r="Y133" s="5"/>
      <c r="Z133" s="1"/>
      <c r="AA133" s="1"/>
      <c r="AB133" s="1"/>
      <c r="AC133" s="4"/>
      <c r="AD133" s="5"/>
    </row>
    <row r="134" spans="1:30" ht="29.4" thickBot="1">
      <c r="A134" s="1" t="s">
        <v>273</v>
      </c>
      <c r="B134" s="4">
        <v>45588</v>
      </c>
      <c r="C134" s="1" t="s">
        <v>38</v>
      </c>
      <c r="D134" s="1" t="s">
        <v>39</v>
      </c>
      <c r="E134" s="1" t="s">
        <v>52</v>
      </c>
      <c r="F134" s="1" t="s">
        <v>53</v>
      </c>
      <c r="G134" s="1" t="s">
        <v>19</v>
      </c>
      <c r="H134" s="5">
        <v>2</v>
      </c>
      <c r="I134" s="5">
        <v>149.99</v>
      </c>
      <c r="J134" s="1" t="s">
        <v>34</v>
      </c>
      <c r="K134" s="1" t="s">
        <v>21</v>
      </c>
      <c r="L134" s="1" t="s">
        <v>22</v>
      </c>
      <c r="M134" s="4">
        <v>44473</v>
      </c>
      <c r="N134" s="5">
        <v>299.98</v>
      </c>
      <c r="Q134" s="1"/>
      <c r="R134" s="4"/>
      <c r="S134" s="1"/>
      <c r="T134" s="1"/>
      <c r="U134" s="1"/>
      <c r="V134" s="1"/>
      <c r="W134" s="1"/>
      <c r="X134" s="5"/>
      <c r="Y134" s="5"/>
      <c r="Z134" s="1"/>
      <c r="AA134" s="1"/>
      <c r="AB134" s="1"/>
      <c r="AC134" s="4"/>
      <c r="AD134" s="5"/>
    </row>
    <row r="135" spans="1:30" ht="29.4" thickBot="1">
      <c r="A135" s="1" t="s">
        <v>274</v>
      </c>
      <c r="B135" s="4">
        <v>45588</v>
      </c>
      <c r="C135" s="1" t="s">
        <v>154</v>
      </c>
      <c r="D135" s="1" t="s">
        <v>155</v>
      </c>
      <c r="E135" s="1" t="s">
        <v>80</v>
      </c>
      <c r="F135" s="1" t="s">
        <v>81</v>
      </c>
      <c r="G135" s="1" t="s">
        <v>19</v>
      </c>
      <c r="H135" s="5">
        <v>2</v>
      </c>
      <c r="I135" s="5">
        <v>699.99</v>
      </c>
      <c r="J135" s="1" t="s">
        <v>20</v>
      </c>
      <c r="K135" s="1" t="s">
        <v>21</v>
      </c>
      <c r="L135" s="1" t="s">
        <v>22</v>
      </c>
      <c r="M135" s="4">
        <v>44992</v>
      </c>
      <c r="N135" s="5">
        <v>1399.98</v>
      </c>
      <c r="Q135" s="1"/>
      <c r="R135" s="4"/>
      <c r="S135" s="1"/>
      <c r="T135" s="1"/>
      <c r="U135" s="1"/>
      <c r="V135" s="1"/>
      <c r="W135" s="1"/>
      <c r="X135" s="5"/>
      <c r="Y135" s="5"/>
      <c r="Z135" s="1"/>
      <c r="AA135" s="1"/>
      <c r="AB135" s="1"/>
      <c r="AC135" s="4"/>
      <c r="AD135" s="5"/>
    </row>
    <row r="136" spans="1:30" ht="29.4" thickBot="1">
      <c r="A136" s="1" t="s">
        <v>275</v>
      </c>
      <c r="B136" s="4">
        <v>45589</v>
      </c>
      <c r="C136" s="1" t="s">
        <v>158</v>
      </c>
      <c r="D136" s="1" t="s">
        <v>159</v>
      </c>
      <c r="E136" s="1" t="s">
        <v>80</v>
      </c>
      <c r="F136" s="1" t="s">
        <v>81</v>
      </c>
      <c r="G136" s="1" t="s">
        <v>19</v>
      </c>
      <c r="H136" s="5">
        <v>5</v>
      </c>
      <c r="I136" s="5">
        <v>699.99</v>
      </c>
      <c r="J136" s="1" t="s">
        <v>20</v>
      </c>
      <c r="K136" s="1" t="s">
        <v>40</v>
      </c>
      <c r="L136" s="1" t="s">
        <v>27</v>
      </c>
      <c r="M136" s="4">
        <v>44635</v>
      </c>
      <c r="N136" s="5">
        <v>3499.95</v>
      </c>
      <c r="Q136" s="1"/>
      <c r="R136" s="4"/>
      <c r="S136" s="1"/>
      <c r="T136" s="1"/>
      <c r="U136" s="1"/>
      <c r="V136" s="1"/>
      <c r="W136" s="1"/>
      <c r="X136" s="5"/>
      <c r="Y136" s="5"/>
      <c r="Z136" s="1"/>
      <c r="AA136" s="1"/>
      <c r="AB136" s="1"/>
      <c r="AC136" s="4"/>
      <c r="AD136" s="5"/>
    </row>
    <row r="137" spans="1:30" ht="29.4" thickBot="1">
      <c r="A137" s="1" t="s">
        <v>276</v>
      </c>
      <c r="B137" s="4">
        <v>45592</v>
      </c>
      <c r="C137" s="1" t="s">
        <v>171</v>
      </c>
      <c r="D137" s="1" t="s">
        <v>172</v>
      </c>
      <c r="E137" s="1" t="s">
        <v>117</v>
      </c>
      <c r="F137" s="1" t="s">
        <v>118</v>
      </c>
      <c r="G137" s="1" t="s">
        <v>19</v>
      </c>
      <c r="H137" s="5">
        <v>3</v>
      </c>
      <c r="I137" s="5">
        <v>89.99</v>
      </c>
      <c r="J137" s="1" t="s">
        <v>26</v>
      </c>
      <c r="K137" s="1" t="s">
        <v>40</v>
      </c>
      <c r="L137" s="1" t="s">
        <v>36</v>
      </c>
      <c r="M137" s="4">
        <v>44615</v>
      </c>
      <c r="N137" s="5">
        <v>269.97000000000003</v>
      </c>
      <c r="Q137" s="1"/>
      <c r="R137" s="4"/>
      <c r="S137" s="1"/>
      <c r="T137" s="1"/>
      <c r="U137" s="1"/>
      <c r="V137" s="1"/>
      <c r="W137" s="1"/>
      <c r="X137" s="5"/>
      <c r="Y137" s="5"/>
      <c r="Z137" s="1"/>
      <c r="AA137" s="1"/>
      <c r="AB137" s="1"/>
      <c r="AC137" s="4"/>
      <c r="AD137" s="5"/>
    </row>
    <row r="138" spans="1:30" ht="29.4" thickBot="1">
      <c r="A138" s="1" t="s">
        <v>277</v>
      </c>
      <c r="B138" s="4">
        <v>45597</v>
      </c>
      <c r="C138" s="1" t="s">
        <v>15</v>
      </c>
      <c r="D138" s="1" t="s">
        <v>16</v>
      </c>
      <c r="E138" s="1" t="s">
        <v>17</v>
      </c>
      <c r="F138" s="1" t="s">
        <v>18</v>
      </c>
      <c r="G138" s="1" t="s">
        <v>19</v>
      </c>
      <c r="H138" s="5">
        <v>5</v>
      </c>
      <c r="I138" s="5">
        <v>249.99</v>
      </c>
      <c r="J138" s="1" t="s">
        <v>26</v>
      </c>
      <c r="K138" s="1" t="s">
        <v>35</v>
      </c>
      <c r="L138" s="1" t="s">
        <v>36</v>
      </c>
      <c r="M138" s="4">
        <v>44881</v>
      </c>
      <c r="N138" s="5">
        <v>1249.95</v>
      </c>
      <c r="Q138" s="1"/>
      <c r="R138" s="4"/>
      <c r="S138" s="1"/>
      <c r="T138" s="1"/>
      <c r="U138" s="1"/>
      <c r="V138" s="1"/>
      <c r="W138" s="1"/>
      <c r="X138" s="5"/>
      <c r="Y138" s="5"/>
      <c r="Z138" s="1"/>
      <c r="AA138" s="1"/>
      <c r="AB138" s="1"/>
      <c r="AC138" s="4"/>
      <c r="AD138" s="5"/>
    </row>
    <row r="139" spans="1:30" ht="29.4" thickBot="1">
      <c r="A139" s="1" t="s">
        <v>278</v>
      </c>
      <c r="B139" s="4">
        <v>45600</v>
      </c>
      <c r="C139" s="1" t="s">
        <v>65</v>
      </c>
      <c r="D139" s="1" t="s">
        <v>66</v>
      </c>
      <c r="E139" s="1" t="s">
        <v>105</v>
      </c>
      <c r="F139" s="1" t="s">
        <v>106</v>
      </c>
      <c r="G139" s="1" t="s">
        <v>46</v>
      </c>
      <c r="H139" s="5">
        <v>3</v>
      </c>
      <c r="I139" s="5">
        <v>299.99</v>
      </c>
      <c r="J139" s="1" t="s">
        <v>26</v>
      </c>
      <c r="K139" s="1" t="s">
        <v>35</v>
      </c>
      <c r="L139" s="1" t="s">
        <v>36</v>
      </c>
      <c r="M139" s="4">
        <v>44502</v>
      </c>
      <c r="N139" s="5">
        <v>899.97</v>
      </c>
      <c r="Q139" s="1"/>
      <c r="R139" s="4"/>
      <c r="S139" s="1"/>
      <c r="T139" s="1"/>
      <c r="U139" s="1"/>
      <c r="V139" s="1"/>
      <c r="W139" s="1"/>
      <c r="X139" s="5"/>
      <c r="Y139" s="5"/>
      <c r="Z139" s="1"/>
      <c r="AA139" s="1"/>
      <c r="AB139" s="1"/>
      <c r="AC139" s="4"/>
      <c r="AD139" s="5"/>
    </row>
    <row r="140" spans="1:30" ht="29.4" thickBot="1">
      <c r="A140" s="1" t="s">
        <v>279</v>
      </c>
      <c r="B140" s="4">
        <v>45603</v>
      </c>
      <c r="C140" s="1" t="s">
        <v>99</v>
      </c>
      <c r="D140" s="1" t="s">
        <v>100</v>
      </c>
      <c r="E140" s="1" t="s">
        <v>117</v>
      </c>
      <c r="F140" s="1" t="s">
        <v>118</v>
      </c>
      <c r="G140" s="1" t="s">
        <v>19</v>
      </c>
      <c r="H140" s="5">
        <v>3</v>
      </c>
      <c r="I140" s="5">
        <v>89.99</v>
      </c>
      <c r="J140" s="1" t="s">
        <v>26</v>
      </c>
      <c r="K140" s="1" t="s">
        <v>40</v>
      </c>
      <c r="L140" s="1" t="s">
        <v>27</v>
      </c>
      <c r="M140" s="4">
        <v>44420</v>
      </c>
      <c r="N140" s="5">
        <v>269.97000000000003</v>
      </c>
      <c r="Q140" s="1"/>
      <c r="R140" s="4"/>
      <c r="S140" s="1"/>
      <c r="T140" s="1"/>
      <c r="U140" s="1"/>
      <c r="V140" s="1"/>
      <c r="W140" s="1"/>
      <c r="X140" s="5"/>
      <c r="Y140" s="5"/>
      <c r="Z140" s="1"/>
      <c r="AA140" s="1"/>
      <c r="AB140" s="1"/>
      <c r="AC140" s="4"/>
      <c r="AD140" s="5"/>
    </row>
    <row r="141" spans="1:30" ht="29.4" thickBot="1">
      <c r="A141" s="1" t="s">
        <v>280</v>
      </c>
      <c r="B141" s="4">
        <v>45604</v>
      </c>
      <c r="C141" s="1" t="s">
        <v>89</v>
      </c>
      <c r="D141" s="1" t="s">
        <v>90</v>
      </c>
      <c r="E141" s="1" t="s">
        <v>44</v>
      </c>
      <c r="F141" s="1" t="s">
        <v>45</v>
      </c>
      <c r="G141" s="1" t="s">
        <v>46</v>
      </c>
      <c r="H141" s="5">
        <v>2</v>
      </c>
      <c r="I141" s="5">
        <v>149.99</v>
      </c>
      <c r="J141" s="1" t="s">
        <v>26</v>
      </c>
      <c r="K141" s="1" t="s">
        <v>50</v>
      </c>
      <c r="L141" s="1" t="s">
        <v>27</v>
      </c>
      <c r="M141" s="4">
        <v>44848</v>
      </c>
      <c r="N141" s="5">
        <v>299.98</v>
      </c>
      <c r="Q141" s="1"/>
      <c r="R141" s="4"/>
      <c r="S141" s="1"/>
      <c r="T141" s="1"/>
      <c r="U141" s="1"/>
      <c r="V141" s="1"/>
      <c r="W141" s="1"/>
      <c r="X141" s="5"/>
      <c r="Y141" s="5"/>
      <c r="Z141" s="1"/>
      <c r="AA141" s="1"/>
      <c r="AB141" s="1"/>
      <c r="AC141" s="4"/>
      <c r="AD141" s="5"/>
    </row>
    <row r="142" spans="1:30" ht="29.4" thickBot="1">
      <c r="A142" s="1" t="s">
        <v>281</v>
      </c>
      <c r="B142" s="4">
        <v>45605</v>
      </c>
      <c r="C142" s="1" t="s">
        <v>185</v>
      </c>
      <c r="D142" s="1" t="s">
        <v>186</v>
      </c>
      <c r="E142" s="1" t="s">
        <v>17</v>
      </c>
      <c r="F142" s="1" t="s">
        <v>18</v>
      </c>
      <c r="G142" s="1" t="s">
        <v>19</v>
      </c>
      <c r="H142" s="5">
        <v>1</v>
      </c>
      <c r="I142" s="5">
        <v>249.99</v>
      </c>
      <c r="J142" s="1" t="s">
        <v>26</v>
      </c>
      <c r="K142" s="1" t="s">
        <v>40</v>
      </c>
      <c r="L142" s="1" t="s">
        <v>27</v>
      </c>
      <c r="M142" s="4">
        <v>44828</v>
      </c>
      <c r="N142" s="5">
        <v>249.99</v>
      </c>
      <c r="Q142" s="1"/>
      <c r="R142" s="4"/>
      <c r="S142" s="1"/>
      <c r="T142" s="1"/>
      <c r="U142" s="1"/>
      <c r="V142" s="1"/>
      <c r="W142" s="1"/>
      <c r="X142" s="5"/>
      <c r="Y142" s="5"/>
      <c r="Z142" s="1"/>
      <c r="AA142" s="1"/>
      <c r="AB142" s="1"/>
      <c r="AC142" s="4"/>
      <c r="AD142" s="5"/>
    </row>
    <row r="143" spans="1:30" ht="43.8" thickBot="1">
      <c r="A143" s="1" t="s">
        <v>282</v>
      </c>
      <c r="B143" s="4">
        <v>45607</v>
      </c>
      <c r="C143" s="1" t="s">
        <v>72</v>
      </c>
      <c r="D143" s="1" t="s">
        <v>73</v>
      </c>
      <c r="E143" s="1" t="s">
        <v>52</v>
      </c>
      <c r="F143" s="1" t="s">
        <v>53</v>
      </c>
      <c r="G143" s="1" t="s">
        <v>19</v>
      </c>
      <c r="H143" s="5">
        <v>3</v>
      </c>
      <c r="I143" s="5">
        <v>149.99</v>
      </c>
      <c r="J143" s="1" t="s">
        <v>20</v>
      </c>
      <c r="K143" s="1" t="s">
        <v>40</v>
      </c>
      <c r="L143" s="1" t="s">
        <v>22</v>
      </c>
      <c r="M143" s="4">
        <v>44769</v>
      </c>
      <c r="N143" s="5">
        <v>449.97</v>
      </c>
      <c r="Q143" s="1"/>
      <c r="R143" s="4"/>
      <c r="S143" s="1"/>
      <c r="T143" s="1"/>
      <c r="U143" s="1"/>
      <c r="V143" s="1"/>
      <c r="W143" s="1"/>
      <c r="X143" s="5"/>
      <c r="Y143" s="5"/>
      <c r="Z143" s="1"/>
      <c r="AA143" s="1"/>
      <c r="AB143" s="1"/>
      <c r="AC143" s="4"/>
      <c r="AD143" s="5"/>
    </row>
    <row r="144" spans="1:30" ht="29.4" thickBot="1">
      <c r="A144" s="1" t="s">
        <v>283</v>
      </c>
      <c r="B144" s="4">
        <v>45607</v>
      </c>
      <c r="C144" s="1" t="s">
        <v>15</v>
      </c>
      <c r="D144" s="1" t="s">
        <v>16</v>
      </c>
      <c r="E144" s="1" t="s">
        <v>31</v>
      </c>
      <c r="F144" s="1" t="s">
        <v>32</v>
      </c>
      <c r="G144" s="1" t="s">
        <v>33</v>
      </c>
      <c r="H144" s="5">
        <v>5</v>
      </c>
      <c r="I144" s="5">
        <v>59.99</v>
      </c>
      <c r="J144" s="1" t="s">
        <v>34</v>
      </c>
      <c r="K144" s="1" t="s">
        <v>50</v>
      </c>
      <c r="L144" s="1" t="s">
        <v>27</v>
      </c>
      <c r="M144" s="4">
        <v>44694</v>
      </c>
      <c r="N144" s="5">
        <v>299.95</v>
      </c>
      <c r="Q144" s="1"/>
      <c r="R144" s="4"/>
      <c r="S144" s="1"/>
      <c r="T144" s="1"/>
      <c r="U144" s="1"/>
      <c r="V144" s="1"/>
      <c r="W144" s="1"/>
      <c r="X144" s="5"/>
      <c r="Y144" s="5"/>
      <c r="Z144" s="1"/>
      <c r="AA144" s="1"/>
      <c r="AB144" s="1"/>
      <c r="AC144" s="4"/>
      <c r="AD144" s="5"/>
    </row>
    <row r="145" spans="1:30" ht="29.4" thickBot="1">
      <c r="A145" s="1" t="s">
        <v>284</v>
      </c>
      <c r="B145" s="4">
        <v>45607</v>
      </c>
      <c r="C145" s="1" t="s">
        <v>99</v>
      </c>
      <c r="D145" s="1" t="s">
        <v>100</v>
      </c>
      <c r="E145" s="1" t="s">
        <v>17</v>
      </c>
      <c r="F145" s="1" t="s">
        <v>18</v>
      </c>
      <c r="G145" s="1" t="s">
        <v>19</v>
      </c>
      <c r="H145" s="5">
        <v>4</v>
      </c>
      <c r="I145" s="5">
        <v>249.99</v>
      </c>
      <c r="J145" s="1" t="s">
        <v>26</v>
      </c>
      <c r="K145" s="1" t="s">
        <v>50</v>
      </c>
      <c r="L145" s="1" t="s">
        <v>36</v>
      </c>
      <c r="M145" s="4">
        <v>44659</v>
      </c>
      <c r="N145" s="5">
        <v>999.96</v>
      </c>
      <c r="Q145" s="1"/>
      <c r="R145" s="4"/>
      <c r="S145" s="1"/>
      <c r="T145" s="1"/>
      <c r="U145" s="1"/>
      <c r="V145" s="1"/>
      <c r="W145" s="1"/>
      <c r="X145" s="5"/>
      <c r="Y145" s="5"/>
      <c r="Z145" s="1"/>
      <c r="AA145" s="1"/>
      <c r="AB145" s="1"/>
      <c r="AC145" s="4"/>
      <c r="AD145" s="5"/>
    </row>
    <row r="146" spans="1:30" ht="29.4" thickBot="1">
      <c r="A146" s="1" t="s">
        <v>285</v>
      </c>
      <c r="B146" s="4">
        <v>45608</v>
      </c>
      <c r="C146" s="1" t="s">
        <v>154</v>
      </c>
      <c r="D146" s="1" t="s">
        <v>155</v>
      </c>
      <c r="E146" s="1" t="s">
        <v>44</v>
      </c>
      <c r="F146" s="1" t="s">
        <v>45</v>
      </c>
      <c r="G146" s="1" t="s">
        <v>46</v>
      </c>
      <c r="H146" s="5">
        <v>5</v>
      </c>
      <c r="I146" s="5">
        <v>149.99</v>
      </c>
      <c r="J146" s="1" t="s">
        <v>34</v>
      </c>
      <c r="K146" s="1" t="s">
        <v>21</v>
      </c>
      <c r="L146" s="1" t="s">
        <v>22</v>
      </c>
      <c r="M146" s="4">
        <v>44901</v>
      </c>
      <c r="N146" s="5">
        <v>749.95</v>
      </c>
      <c r="Q146" s="1"/>
      <c r="R146" s="4"/>
      <c r="S146" s="1"/>
      <c r="T146" s="1"/>
      <c r="U146" s="1"/>
      <c r="V146" s="1"/>
      <c r="W146" s="1"/>
      <c r="X146" s="5"/>
      <c r="Y146" s="5"/>
      <c r="Z146" s="1"/>
      <c r="AA146" s="1"/>
      <c r="AB146" s="1"/>
      <c r="AC146" s="4"/>
      <c r="AD146" s="5"/>
    </row>
    <row r="147" spans="1:30" ht="29.4" thickBot="1">
      <c r="A147" s="1" t="s">
        <v>286</v>
      </c>
      <c r="B147" s="4">
        <v>45608</v>
      </c>
      <c r="C147" s="1" t="s">
        <v>83</v>
      </c>
      <c r="D147" s="1" t="s">
        <v>84</v>
      </c>
      <c r="E147" s="1" t="s">
        <v>31</v>
      </c>
      <c r="F147" s="1" t="s">
        <v>32</v>
      </c>
      <c r="G147" s="1" t="s">
        <v>33</v>
      </c>
      <c r="H147" s="5">
        <v>3</v>
      </c>
      <c r="I147" s="5">
        <v>59.99</v>
      </c>
      <c r="J147" s="1" t="s">
        <v>57</v>
      </c>
      <c r="K147" s="1" t="s">
        <v>35</v>
      </c>
      <c r="L147" s="1" t="s">
        <v>36</v>
      </c>
      <c r="M147" s="4">
        <v>45260</v>
      </c>
      <c r="N147" s="5">
        <v>179.97</v>
      </c>
      <c r="Q147" s="1"/>
      <c r="R147" s="4"/>
      <c r="S147" s="1"/>
      <c r="T147" s="1"/>
      <c r="U147" s="1"/>
      <c r="V147" s="1"/>
      <c r="W147" s="1"/>
      <c r="X147" s="5"/>
      <c r="Y147" s="5"/>
      <c r="Z147" s="1"/>
      <c r="AA147" s="1"/>
      <c r="AB147" s="1"/>
      <c r="AC147" s="4"/>
      <c r="AD147" s="5"/>
    </row>
    <row r="148" spans="1:30" ht="29.4" thickBot="1">
      <c r="A148" s="1" t="s">
        <v>287</v>
      </c>
      <c r="B148" s="4">
        <v>45613</v>
      </c>
      <c r="C148" s="1" t="s">
        <v>234</v>
      </c>
      <c r="D148" s="1" t="s">
        <v>235</v>
      </c>
      <c r="E148" s="1" t="s">
        <v>44</v>
      </c>
      <c r="F148" s="1" t="s">
        <v>45</v>
      </c>
      <c r="G148" s="1" t="s">
        <v>46</v>
      </c>
      <c r="H148" s="5">
        <v>5</v>
      </c>
      <c r="I148" s="5">
        <v>149.99</v>
      </c>
      <c r="J148" s="1" t="s">
        <v>20</v>
      </c>
      <c r="K148" s="1" t="s">
        <v>40</v>
      </c>
      <c r="L148" s="1" t="s">
        <v>22</v>
      </c>
      <c r="M148" s="4">
        <v>44869</v>
      </c>
      <c r="N148" s="5">
        <v>749.95</v>
      </c>
      <c r="Q148" s="1"/>
      <c r="R148" s="4"/>
      <c r="S148" s="1"/>
      <c r="T148" s="1"/>
      <c r="U148" s="1"/>
      <c r="V148" s="1"/>
      <c r="W148" s="1"/>
      <c r="X148" s="5"/>
      <c r="Y148" s="5"/>
      <c r="Z148" s="1"/>
      <c r="AA148" s="1"/>
      <c r="AB148" s="1"/>
      <c r="AC148" s="4"/>
      <c r="AD148" s="5"/>
    </row>
    <row r="149" spans="1:30" ht="29.4" thickBot="1">
      <c r="A149" s="1" t="s">
        <v>288</v>
      </c>
      <c r="B149" s="4">
        <v>45613</v>
      </c>
      <c r="C149" s="1" t="s">
        <v>86</v>
      </c>
      <c r="D149" s="1" t="s">
        <v>87</v>
      </c>
      <c r="E149" s="1" t="s">
        <v>80</v>
      </c>
      <c r="F149" s="1" t="s">
        <v>81</v>
      </c>
      <c r="G149" s="1" t="s">
        <v>19</v>
      </c>
      <c r="H149" s="5">
        <v>2</v>
      </c>
      <c r="I149" s="5">
        <v>699.99</v>
      </c>
      <c r="J149" s="1" t="s">
        <v>34</v>
      </c>
      <c r="K149" s="1" t="s">
        <v>50</v>
      </c>
      <c r="L149" s="1" t="s">
        <v>36</v>
      </c>
      <c r="M149" s="4">
        <v>44770</v>
      </c>
      <c r="N149" s="5">
        <v>1399.98</v>
      </c>
      <c r="Q149" s="1"/>
      <c r="R149" s="4"/>
      <c r="S149" s="1"/>
      <c r="T149" s="1"/>
      <c r="U149" s="1"/>
      <c r="V149" s="1"/>
      <c r="W149" s="1"/>
      <c r="X149" s="5"/>
      <c r="Y149" s="5"/>
      <c r="Z149" s="1"/>
      <c r="AA149" s="1"/>
      <c r="AB149" s="1"/>
      <c r="AC149" s="4"/>
      <c r="AD149" s="5"/>
    </row>
    <row r="150" spans="1:30" ht="29.4" thickBot="1">
      <c r="A150" s="1" t="s">
        <v>289</v>
      </c>
      <c r="B150" s="4">
        <v>45617</v>
      </c>
      <c r="C150" s="1" t="s">
        <v>123</v>
      </c>
      <c r="D150" s="1" t="s">
        <v>124</v>
      </c>
      <c r="E150" s="1" t="s">
        <v>126</v>
      </c>
      <c r="F150" s="1" t="s">
        <v>127</v>
      </c>
      <c r="G150" s="1" t="s">
        <v>46</v>
      </c>
      <c r="H150" s="5">
        <v>4</v>
      </c>
      <c r="I150" s="5">
        <v>199.99</v>
      </c>
      <c r="J150" s="1" t="s">
        <v>57</v>
      </c>
      <c r="K150" s="1" t="s">
        <v>21</v>
      </c>
      <c r="L150" s="1" t="s">
        <v>27</v>
      </c>
      <c r="M150" s="4">
        <v>44427</v>
      </c>
      <c r="N150" s="5">
        <v>799.96</v>
      </c>
      <c r="Q150" s="1"/>
      <c r="R150" s="4"/>
      <c r="S150" s="1"/>
      <c r="T150" s="1"/>
      <c r="U150" s="1"/>
      <c r="V150" s="1"/>
      <c r="W150" s="1"/>
      <c r="X150" s="5"/>
      <c r="Y150" s="5"/>
      <c r="Z150" s="1"/>
      <c r="AA150" s="1"/>
      <c r="AB150" s="1"/>
      <c r="AC150" s="4"/>
      <c r="AD150" s="5"/>
    </row>
    <row r="151" spans="1:30" ht="29.4" thickBot="1">
      <c r="A151" s="1" t="s">
        <v>290</v>
      </c>
      <c r="B151" s="4">
        <v>45619</v>
      </c>
      <c r="C151" s="1" t="s">
        <v>192</v>
      </c>
      <c r="D151" s="1" t="s">
        <v>193</v>
      </c>
      <c r="E151" s="1" t="s">
        <v>31</v>
      </c>
      <c r="F151" s="1" t="s">
        <v>32</v>
      </c>
      <c r="G151" s="1" t="s">
        <v>33</v>
      </c>
      <c r="H151" s="5">
        <v>1</v>
      </c>
      <c r="I151" s="5">
        <v>59.99</v>
      </c>
      <c r="J151" s="1" t="s">
        <v>57</v>
      </c>
      <c r="K151" s="1" t="s">
        <v>50</v>
      </c>
      <c r="L151" s="1" t="s">
        <v>36</v>
      </c>
      <c r="M151" s="4">
        <v>44560</v>
      </c>
      <c r="N151" s="5">
        <v>59.99</v>
      </c>
      <c r="Q151" s="1"/>
      <c r="R151" s="4"/>
      <c r="S151" s="1"/>
      <c r="T151" s="1"/>
      <c r="U151" s="1"/>
      <c r="V151" s="1"/>
      <c r="W151" s="1"/>
      <c r="X151" s="5"/>
      <c r="Y151" s="5"/>
      <c r="Z151" s="1"/>
      <c r="AA151" s="1"/>
      <c r="AB151" s="1"/>
      <c r="AC151" s="4"/>
      <c r="AD151" s="5"/>
    </row>
    <row r="152" spans="1:30" ht="29.4" thickBot="1">
      <c r="A152" s="1" t="s">
        <v>291</v>
      </c>
      <c r="B152" s="4">
        <v>45619</v>
      </c>
      <c r="C152" s="1" t="s">
        <v>154</v>
      </c>
      <c r="D152" s="1" t="s">
        <v>155</v>
      </c>
      <c r="E152" s="1" t="s">
        <v>80</v>
      </c>
      <c r="F152" s="1" t="s">
        <v>81</v>
      </c>
      <c r="G152" s="1" t="s">
        <v>19</v>
      </c>
      <c r="H152" s="5">
        <v>3</v>
      </c>
      <c r="I152" s="5">
        <v>699.99</v>
      </c>
      <c r="J152" s="1" t="s">
        <v>34</v>
      </c>
      <c r="K152" s="1" t="s">
        <v>50</v>
      </c>
      <c r="L152" s="1" t="s">
        <v>36</v>
      </c>
      <c r="M152" s="4">
        <v>44583</v>
      </c>
      <c r="N152" s="5">
        <v>2099.9699999999998</v>
      </c>
      <c r="Q152" s="1"/>
      <c r="R152" s="4"/>
      <c r="S152" s="1"/>
      <c r="T152" s="1"/>
      <c r="U152" s="1"/>
      <c r="V152" s="1"/>
      <c r="W152" s="1"/>
      <c r="X152" s="5"/>
      <c r="Y152" s="5"/>
      <c r="Z152" s="1"/>
      <c r="AA152" s="1"/>
      <c r="AB152" s="1"/>
      <c r="AC152" s="4"/>
      <c r="AD152" s="5"/>
    </row>
    <row r="153" spans="1:30" ht="29.4" thickBot="1">
      <c r="A153" s="1" t="s">
        <v>292</v>
      </c>
      <c r="B153" s="4">
        <v>45622</v>
      </c>
      <c r="C153" s="1" t="s">
        <v>293</v>
      </c>
      <c r="D153" s="1" t="s">
        <v>294</v>
      </c>
      <c r="E153" s="1" t="s">
        <v>17</v>
      </c>
      <c r="F153" s="1" t="s">
        <v>18</v>
      </c>
      <c r="G153" s="1" t="s">
        <v>19</v>
      </c>
      <c r="H153" s="5">
        <v>5</v>
      </c>
      <c r="I153" s="5">
        <v>249.99</v>
      </c>
      <c r="J153" s="1" t="s">
        <v>26</v>
      </c>
      <c r="K153" s="1" t="s">
        <v>40</v>
      </c>
      <c r="L153" s="1" t="s">
        <v>22</v>
      </c>
      <c r="M153" s="4">
        <v>44873</v>
      </c>
      <c r="N153" s="5">
        <v>1249.95</v>
      </c>
      <c r="Q153" s="1"/>
      <c r="R153" s="4"/>
      <c r="S153" s="1"/>
      <c r="T153" s="1"/>
      <c r="U153" s="1"/>
      <c r="V153" s="1"/>
      <c r="W153" s="1"/>
      <c r="X153" s="5"/>
      <c r="Y153" s="5"/>
      <c r="Z153" s="1"/>
      <c r="AA153" s="1"/>
      <c r="AB153" s="1"/>
      <c r="AC153" s="4"/>
      <c r="AD153" s="5"/>
    </row>
    <row r="154" spans="1:30" ht="29.4" thickBot="1">
      <c r="A154" s="1" t="s">
        <v>295</v>
      </c>
      <c r="B154" s="4">
        <v>45623</v>
      </c>
      <c r="C154" s="1" t="s">
        <v>112</v>
      </c>
      <c r="D154" s="1" t="s">
        <v>113</v>
      </c>
      <c r="E154" s="1" t="s">
        <v>44</v>
      </c>
      <c r="F154" s="1" t="s">
        <v>45</v>
      </c>
      <c r="G154" s="1" t="s">
        <v>46</v>
      </c>
      <c r="H154" s="5">
        <v>2</v>
      </c>
      <c r="I154" s="5">
        <v>149.99</v>
      </c>
      <c r="J154" s="1" t="s">
        <v>20</v>
      </c>
      <c r="K154" s="1" t="s">
        <v>35</v>
      </c>
      <c r="L154" s="1" t="s">
        <v>36</v>
      </c>
      <c r="M154" s="4">
        <v>45101</v>
      </c>
      <c r="N154" s="5">
        <v>299.98</v>
      </c>
      <c r="Q154" s="1"/>
      <c r="R154" s="4"/>
      <c r="S154" s="1"/>
      <c r="T154" s="1"/>
      <c r="U154" s="1"/>
      <c r="V154" s="1"/>
      <c r="W154" s="1"/>
      <c r="X154" s="5"/>
      <c r="Y154" s="5"/>
      <c r="Z154" s="1"/>
      <c r="AA154" s="1"/>
      <c r="AB154" s="1"/>
      <c r="AC154" s="4"/>
      <c r="AD154" s="5"/>
    </row>
    <row r="155" spans="1:30" ht="29.4" thickBot="1">
      <c r="A155" s="1" t="s">
        <v>296</v>
      </c>
      <c r="B155" s="4">
        <v>45627</v>
      </c>
      <c r="C155" s="1" t="s">
        <v>29</v>
      </c>
      <c r="D155" s="1" t="s">
        <v>30</v>
      </c>
      <c r="E155" s="1" t="s">
        <v>105</v>
      </c>
      <c r="F155" s="1" t="s">
        <v>106</v>
      </c>
      <c r="G155" s="1" t="s">
        <v>46</v>
      </c>
      <c r="H155" s="5">
        <v>3</v>
      </c>
      <c r="I155" s="5">
        <v>299.99</v>
      </c>
      <c r="J155" s="1" t="s">
        <v>20</v>
      </c>
      <c r="K155" s="1" t="s">
        <v>35</v>
      </c>
      <c r="L155" s="1" t="s">
        <v>27</v>
      </c>
      <c r="M155" s="4">
        <v>44659</v>
      </c>
      <c r="N155" s="5">
        <v>899.97</v>
      </c>
      <c r="Q155" s="1"/>
      <c r="R155" s="4"/>
      <c r="S155" s="1"/>
      <c r="T155" s="1"/>
      <c r="U155" s="1"/>
      <c r="V155" s="1"/>
      <c r="W155" s="1"/>
      <c r="X155" s="5"/>
      <c r="Y155" s="5"/>
      <c r="Z155" s="1"/>
      <c r="AA155" s="1"/>
      <c r="AB155" s="1"/>
      <c r="AC155" s="4"/>
      <c r="AD155" s="5"/>
    </row>
    <row r="156" spans="1:30" ht="29.4" thickBot="1">
      <c r="A156" s="1" t="s">
        <v>297</v>
      </c>
      <c r="B156" s="4">
        <v>45627</v>
      </c>
      <c r="C156" s="1" t="s">
        <v>55</v>
      </c>
      <c r="D156" s="1" t="s">
        <v>56</v>
      </c>
      <c r="E156" s="1" t="s">
        <v>17</v>
      </c>
      <c r="F156" s="1" t="s">
        <v>18</v>
      </c>
      <c r="G156" s="1" t="s">
        <v>19</v>
      </c>
      <c r="H156" s="5">
        <v>5</v>
      </c>
      <c r="I156" s="5">
        <v>249.99</v>
      </c>
      <c r="J156" s="1" t="s">
        <v>20</v>
      </c>
      <c r="K156" s="1" t="s">
        <v>21</v>
      </c>
      <c r="L156" s="1" t="s">
        <v>27</v>
      </c>
      <c r="M156" s="4">
        <v>44485</v>
      </c>
      <c r="N156" s="5">
        <v>1249.95</v>
      </c>
      <c r="Q156" s="1"/>
      <c r="R156" s="4"/>
      <c r="S156" s="1"/>
      <c r="T156" s="1"/>
      <c r="U156" s="1"/>
      <c r="V156" s="1"/>
      <c r="W156" s="1"/>
      <c r="X156" s="5"/>
      <c r="Y156" s="5"/>
      <c r="Z156" s="1"/>
      <c r="AA156" s="1"/>
      <c r="AB156" s="1"/>
      <c r="AC156" s="4"/>
      <c r="AD156" s="5"/>
    </row>
    <row r="157" spans="1:30" ht="29.4" thickBot="1">
      <c r="A157" s="1" t="s">
        <v>298</v>
      </c>
      <c r="B157" s="4">
        <v>45627</v>
      </c>
      <c r="C157" s="1" t="s">
        <v>24</v>
      </c>
      <c r="D157" s="1" t="s">
        <v>25</v>
      </c>
      <c r="E157" s="1" t="s">
        <v>52</v>
      </c>
      <c r="F157" s="1" t="s">
        <v>53</v>
      </c>
      <c r="G157" s="1" t="s">
        <v>19</v>
      </c>
      <c r="H157" s="5">
        <v>2</v>
      </c>
      <c r="I157" s="5">
        <v>149.99</v>
      </c>
      <c r="J157" s="1" t="s">
        <v>20</v>
      </c>
      <c r="K157" s="1" t="s">
        <v>35</v>
      </c>
      <c r="L157" s="1" t="s">
        <v>27</v>
      </c>
      <c r="M157" s="4">
        <v>44475</v>
      </c>
      <c r="N157" s="5">
        <v>299.98</v>
      </c>
      <c r="Q157" s="1"/>
      <c r="R157" s="4"/>
      <c r="S157" s="1"/>
      <c r="T157" s="1"/>
      <c r="U157" s="1"/>
      <c r="V157" s="1"/>
      <c r="W157" s="1"/>
      <c r="X157" s="5"/>
      <c r="Y157" s="5"/>
      <c r="Z157" s="1"/>
      <c r="AA157" s="1"/>
      <c r="AB157" s="1"/>
      <c r="AC157" s="4"/>
      <c r="AD157" s="5"/>
    </row>
    <row r="158" spans="1:30" ht="29.4" thickBot="1">
      <c r="A158" s="1" t="s">
        <v>299</v>
      </c>
      <c r="B158" s="4">
        <v>45627</v>
      </c>
      <c r="C158" s="1" t="s">
        <v>86</v>
      </c>
      <c r="D158" s="1" t="s">
        <v>87</v>
      </c>
      <c r="E158" s="1" t="s">
        <v>80</v>
      </c>
      <c r="F158" s="1" t="s">
        <v>81</v>
      </c>
      <c r="G158" s="1" t="s">
        <v>19</v>
      </c>
      <c r="H158" s="5">
        <v>5</v>
      </c>
      <c r="I158" s="5">
        <v>699.99</v>
      </c>
      <c r="J158" s="1" t="s">
        <v>57</v>
      </c>
      <c r="K158" s="1" t="s">
        <v>50</v>
      </c>
      <c r="L158" s="1" t="s">
        <v>36</v>
      </c>
      <c r="M158" s="4">
        <v>44944</v>
      </c>
      <c r="N158" s="5">
        <v>3499.95</v>
      </c>
      <c r="Q158" s="1"/>
      <c r="R158" s="4"/>
      <c r="S158" s="1"/>
      <c r="T158" s="1"/>
      <c r="U158" s="1"/>
      <c r="V158" s="1"/>
      <c r="W158" s="1"/>
      <c r="X158" s="5"/>
      <c r="Y158" s="5"/>
      <c r="Z158" s="1"/>
      <c r="AA158" s="1"/>
      <c r="AB158" s="1"/>
      <c r="AC158" s="4"/>
      <c r="AD158" s="5"/>
    </row>
    <row r="159" spans="1:30" ht="29.4" thickBot="1">
      <c r="A159" s="1" t="s">
        <v>300</v>
      </c>
      <c r="B159" s="4">
        <v>45629</v>
      </c>
      <c r="C159" s="1" t="s">
        <v>252</v>
      </c>
      <c r="D159" s="1" t="s">
        <v>253</v>
      </c>
      <c r="E159" s="1" t="s">
        <v>17</v>
      </c>
      <c r="F159" s="1" t="s">
        <v>18</v>
      </c>
      <c r="G159" s="1" t="s">
        <v>19</v>
      </c>
      <c r="H159" s="5">
        <v>4</v>
      </c>
      <c r="I159" s="5">
        <v>249.99</v>
      </c>
      <c r="J159" s="1" t="s">
        <v>34</v>
      </c>
      <c r="K159" s="1" t="s">
        <v>63</v>
      </c>
      <c r="L159" s="1" t="s">
        <v>27</v>
      </c>
      <c r="M159" s="4">
        <v>45098</v>
      </c>
      <c r="N159" s="5">
        <v>999.96</v>
      </c>
      <c r="Q159" s="1"/>
      <c r="R159" s="4"/>
      <c r="S159" s="1"/>
      <c r="T159" s="1"/>
      <c r="U159" s="1"/>
      <c r="V159" s="1"/>
      <c r="W159" s="1"/>
      <c r="X159" s="5"/>
      <c r="Y159" s="5"/>
      <c r="Z159" s="1"/>
      <c r="AA159" s="1"/>
      <c r="AB159" s="1"/>
      <c r="AC159" s="4"/>
      <c r="AD159" s="5"/>
    </row>
    <row r="160" spans="1:30" ht="29.4" thickBot="1">
      <c r="A160" s="1" t="s">
        <v>301</v>
      </c>
      <c r="B160" s="4">
        <v>45630</v>
      </c>
      <c r="C160" s="1" t="s">
        <v>48</v>
      </c>
      <c r="D160" s="1" t="s">
        <v>49</v>
      </c>
      <c r="E160" s="1" t="s">
        <v>80</v>
      </c>
      <c r="F160" s="1" t="s">
        <v>81</v>
      </c>
      <c r="G160" s="1" t="s">
        <v>19</v>
      </c>
      <c r="H160" s="5">
        <v>4</v>
      </c>
      <c r="I160" s="5">
        <v>699.99</v>
      </c>
      <c r="J160" s="1" t="s">
        <v>26</v>
      </c>
      <c r="K160" s="1" t="s">
        <v>40</v>
      </c>
      <c r="L160" s="1" t="s">
        <v>27</v>
      </c>
      <c r="M160" s="4">
        <v>44703</v>
      </c>
      <c r="N160" s="5">
        <v>2799.96</v>
      </c>
      <c r="Q160" s="1"/>
      <c r="R160" s="4"/>
      <c r="S160" s="1"/>
      <c r="T160" s="1"/>
      <c r="U160" s="1"/>
      <c r="V160" s="1"/>
      <c r="W160" s="1"/>
      <c r="X160" s="5"/>
      <c r="Y160" s="5"/>
      <c r="Z160" s="1"/>
      <c r="AA160" s="1"/>
      <c r="AB160" s="1"/>
      <c r="AC160" s="4"/>
      <c r="AD160" s="5"/>
    </row>
    <row r="161" spans="1:30" ht="29.4" thickBot="1">
      <c r="A161" s="1" t="s">
        <v>302</v>
      </c>
      <c r="B161" s="4">
        <v>45635</v>
      </c>
      <c r="C161" s="1" t="s">
        <v>108</v>
      </c>
      <c r="D161" s="1" t="s">
        <v>109</v>
      </c>
      <c r="E161" s="1" t="s">
        <v>17</v>
      </c>
      <c r="F161" s="1" t="s">
        <v>18</v>
      </c>
      <c r="G161" s="1" t="s">
        <v>19</v>
      </c>
      <c r="H161" s="5">
        <v>2</v>
      </c>
      <c r="I161" s="5">
        <v>249.99</v>
      </c>
      <c r="J161" s="1" t="s">
        <v>26</v>
      </c>
      <c r="K161" s="1" t="s">
        <v>21</v>
      </c>
      <c r="L161" s="1" t="s">
        <v>27</v>
      </c>
      <c r="M161" s="4">
        <v>44396</v>
      </c>
      <c r="N161" s="5">
        <v>499.98</v>
      </c>
      <c r="Q161" s="1"/>
      <c r="R161" s="4"/>
      <c r="S161" s="1"/>
      <c r="T161" s="1"/>
      <c r="U161" s="1"/>
      <c r="V161" s="1"/>
      <c r="W161" s="1"/>
      <c r="X161" s="5"/>
      <c r="Y161" s="5"/>
      <c r="Z161" s="1"/>
      <c r="AA161" s="1"/>
      <c r="AB161" s="1"/>
      <c r="AC161" s="4"/>
      <c r="AD161" s="5"/>
    </row>
    <row r="162" spans="1:30" ht="29.4" thickBot="1">
      <c r="A162" s="1" t="s">
        <v>303</v>
      </c>
      <c r="B162" s="4">
        <v>45635</v>
      </c>
      <c r="C162" s="1" t="s">
        <v>304</v>
      </c>
      <c r="D162" s="1" t="s">
        <v>305</v>
      </c>
      <c r="E162" s="1" t="s">
        <v>31</v>
      </c>
      <c r="F162" s="1" t="s">
        <v>32</v>
      </c>
      <c r="G162" s="1" t="s">
        <v>33</v>
      </c>
      <c r="H162" s="5">
        <v>3</v>
      </c>
      <c r="I162" s="5">
        <v>59.99</v>
      </c>
      <c r="J162" s="1" t="s">
        <v>20</v>
      </c>
      <c r="K162" s="1" t="s">
        <v>21</v>
      </c>
      <c r="L162" s="1" t="s">
        <v>27</v>
      </c>
      <c r="M162" s="4">
        <v>45052</v>
      </c>
      <c r="N162" s="5">
        <v>179.97</v>
      </c>
      <c r="Q162" s="1"/>
      <c r="R162" s="4"/>
      <c r="S162" s="1"/>
      <c r="T162" s="1"/>
      <c r="U162" s="1"/>
      <c r="V162" s="1"/>
      <c r="W162" s="1"/>
      <c r="X162" s="5"/>
      <c r="Y162" s="5"/>
      <c r="Z162" s="1"/>
      <c r="AA162" s="1"/>
      <c r="AB162" s="1"/>
      <c r="AC162" s="4"/>
      <c r="AD162" s="5"/>
    </row>
    <row r="163" spans="1:30" ht="29.4" thickBot="1">
      <c r="A163" s="1" t="s">
        <v>306</v>
      </c>
      <c r="B163" s="4">
        <v>45635</v>
      </c>
      <c r="C163" s="1" t="s">
        <v>141</v>
      </c>
      <c r="D163" s="1" t="s">
        <v>142</v>
      </c>
      <c r="E163" s="1" t="s">
        <v>114</v>
      </c>
      <c r="F163" s="1" t="s">
        <v>115</v>
      </c>
      <c r="G163" s="1" t="s">
        <v>33</v>
      </c>
      <c r="H163" s="5">
        <v>4</v>
      </c>
      <c r="I163" s="5">
        <v>79.989999999999995</v>
      </c>
      <c r="J163" s="1" t="s">
        <v>57</v>
      </c>
      <c r="K163" s="1" t="s">
        <v>63</v>
      </c>
      <c r="L163" s="1" t="s">
        <v>36</v>
      </c>
      <c r="M163" s="4">
        <v>44921</v>
      </c>
      <c r="N163" s="5">
        <v>319.95999999999998</v>
      </c>
      <c r="Q163" s="1"/>
      <c r="R163" s="4"/>
      <c r="S163" s="1"/>
      <c r="T163" s="1"/>
      <c r="U163" s="1"/>
      <c r="V163" s="1"/>
      <c r="W163" s="1"/>
      <c r="X163" s="5"/>
      <c r="Y163" s="5"/>
      <c r="Z163" s="1"/>
      <c r="AA163" s="1"/>
      <c r="AB163" s="1"/>
      <c r="AC163" s="4"/>
      <c r="AD163" s="5"/>
    </row>
    <row r="164" spans="1:30" ht="29.4" thickBot="1">
      <c r="A164" s="1" t="s">
        <v>307</v>
      </c>
      <c r="B164" s="4">
        <v>45636</v>
      </c>
      <c r="C164" s="1" t="s">
        <v>120</v>
      </c>
      <c r="D164" s="1" t="s">
        <v>121</v>
      </c>
      <c r="E164" s="1" t="s">
        <v>114</v>
      </c>
      <c r="F164" s="1" t="s">
        <v>115</v>
      </c>
      <c r="G164" s="1" t="s">
        <v>33</v>
      </c>
      <c r="H164" s="5">
        <v>3</v>
      </c>
      <c r="I164" s="5">
        <v>79.989999999999995</v>
      </c>
      <c r="J164" s="1" t="s">
        <v>57</v>
      </c>
      <c r="K164" s="1" t="s">
        <v>63</v>
      </c>
      <c r="L164" s="1" t="s">
        <v>36</v>
      </c>
      <c r="M164" s="4">
        <v>44779</v>
      </c>
      <c r="N164" s="5">
        <v>239.97</v>
      </c>
      <c r="Q164" s="1"/>
      <c r="R164" s="4"/>
      <c r="S164" s="1"/>
      <c r="T164" s="1"/>
      <c r="U164" s="1"/>
      <c r="V164" s="1"/>
      <c r="W164" s="1"/>
      <c r="X164" s="5"/>
      <c r="Y164" s="5"/>
      <c r="Z164" s="1"/>
      <c r="AA164" s="1"/>
      <c r="AB164" s="1"/>
      <c r="AC164" s="4"/>
      <c r="AD164" s="5"/>
    </row>
    <row r="165" spans="1:30" ht="43.8" thickBot="1">
      <c r="A165" s="1" t="s">
        <v>308</v>
      </c>
      <c r="B165" s="4">
        <v>45638</v>
      </c>
      <c r="C165" s="1" t="s">
        <v>72</v>
      </c>
      <c r="D165" s="1" t="s">
        <v>73</v>
      </c>
      <c r="E165" s="1" t="s">
        <v>61</v>
      </c>
      <c r="F165" s="1" t="s">
        <v>62</v>
      </c>
      <c r="G165" s="1" t="s">
        <v>19</v>
      </c>
      <c r="H165" s="5">
        <v>2</v>
      </c>
      <c r="I165" s="5">
        <v>899.99</v>
      </c>
      <c r="J165" s="1" t="s">
        <v>20</v>
      </c>
      <c r="K165" s="1" t="s">
        <v>40</v>
      </c>
      <c r="L165" s="1" t="s">
        <v>22</v>
      </c>
      <c r="M165" s="4">
        <v>44406</v>
      </c>
      <c r="N165" s="5">
        <v>1799.98</v>
      </c>
      <c r="Q165" s="1"/>
      <c r="R165" s="4"/>
      <c r="S165" s="1"/>
      <c r="T165" s="1"/>
      <c r="U165" s="1"/>
      <c r="V165" s="1"/>
      <c r="W165" s="1"/>
      <c r="X165" s="5"/>
      <c r="Y165" s="5"/>
      <c r="Z165" s="1"/>
      <c r="AA165" s="1"/>
      <c r="AB165" s="1"/>
      <c r="AC165" s="4"/>
      <c r="AD165" s="5"/>
    </row>
    <row r="166" spans="1:30" ht="29.4" thickBot="1">
      <c r="A166" s="1" t="s">
        <v>309</v>
      </c>
      <c r="B166" s="4">
        <v>45641</v>
      </c>
      <c r="C166" s="1" t="s">
        <v>182</v>
      </c>
      <c r="D166" s="1" t="s">
        <v>183</v>
      </c>
      <c r="E166" s="1" t="s">
        <v>44</v>
      </c>
      <c r="F166" s="1" t="s">
        <v>45</v>
      </c>
      <c r="G166" s="1" t="s">
        <v>46</v>
      </c>
      <c r="H166" s="5">
        <v>1</v>
      </c>
      <c r="I166" s="5">
        <v>149.99</v>
      </c>
      <c r="J166" s="1" t="s">
        <v>57</v>
      </c>
      <c r="K166" s="1" t="s">
        <v>63</v>
      </c>
      <c r="L166" s="1" t="s">
        <v>36</v>
      </c>
      <c r="M166" s="4">
        <v>45200</v>
      </c>
      <c r="N166" s="5">
        <v>149.99</v>
      </c>
      <c r="Q166" s="1"/>
      <c r="R166" s="4"/>
      <c r="S166" s="1"/>
      <c r="T166" s="1"/>
      <c r="U166" s="1"/>
      <c r="V166" s="1"/>
      <c r="W166" s="1"/>
      <c r="X166" s="5"/>
      <c r="Y166" s="5"/>
      <c r="Z166" s="1"/>
      <c r="AA166" s="1"/>
      <c r="AB166" s="1"/>
      <c r="AC166" s="4"/>
      <c r="AD166" s="5"/>
    </row>
    <row r="167" spans="1:30" ht="29.4" thickBot="1">
      <c r="A167" s="1" t="s">
        <v>310</v>
      </c>
      <c r="B167" s="4">
        <v>45641</v>
      </c>
      <c r="C167" s="1" t="s">
        <v>138</v>
      </c>
      <c r="D167" s="1" t="s">
        <v>139</v>
      </c>
      <c r="E167" s="1" t="s">
        <v>105</v>
      </c>
      <c r="F167" s="1" t="s">
        <v>106</v>
      </c>
      <c r="G167" s="1" t="s">
        <v>46</v>
      </c>
      <c r="H167" s="5">
        <v>2</v>
      </c>
      <c r="I167" s="5">
        <v>299.99</v>
      </c>
      <c r="J167" s="1" t="s">
        <v>20</v>
      </c>
      <c r="K167" s="1" t="s">
        <v>63</v>
      </c>
      <c r="L167" s="1" t="s">
        <v>27</v>
      </c>
      <c r="M167" s="4">
        <v>44724</v>
      </c>
      <c r="N167" s="5">
        <v>599.98</v>
      </c>
      <c r="Q167" s="1"/>
      <c r="R167" s="4"/>
      <c r="S167" s="1"/>
      <c r="T167" s="1"/>
      <c r="U167" s="1"/>
      <c r="V167" s="1"/>
      <c r="W167" s="1"/>
      <c r="X167" s="5"/>
      <c r="Y167" s="5"/>
      <c r="Z167" s="1"/>
      <c r="AA167" s="1"/>
      <c r="AB167" s="1"/>
      <c r="AC167" s="4"/>
      <c r="AD167" s="5"/>
    </row>
    <row r="168" spans="1:30" ht="29.4" thickBot="1">
      <c r="A168" s="1" t="s">
        <v>311</v>
      </c>
      <c r="B168" s="4">
        <v>45644</v>
      </c>
      <c r="C168" s="1" t="s">
        <v>132</v>
      </c>
      <c r="D168" s="1" t="s">
        <v>133</v>
      </c>
      <c r="E168" s="1" t="s">
        <v>31</v>
      </c>
      <c r="F168" s="1" t="s">
        <v>32</v>
      </c>
      <c r="G168" s="1" t="s">
        <v>33</v>
      </c>
      <c r="H168" s="5">
        <v>2</v>
      </c>
      <c r="I168" s="5">
        <v>59.99</v>
      </c>
      <c r="J168" s="1" t="s">
        <v>20</v>
      </c>
      <c r="K168" s="1" t="s">
        <v>50</v>
      </c>
      <c r="L168" s="1" t="s">
        <v>22</v>
      </c>
      <c r="M168" s="4">
        <v>45191</v>
      </c>
      <c r="N168" s="5">
        <v>119.98</v>
      </c>
      <c r="Q168" s="1"/>
      <c r="R168" s="4"/>
      <c r="S168" s="1"/>
      <c r="T168" s="1"/>
      <c r="U168" s="1"/>
      <c r="V168" s="1"/>
      <c r="W168" s="1"/>
      <c r="X168" s="5"/>
      <c r="Y168" s="5"/>
      <c r="Z168" s="1"/>
      <c r="AA168" s="1"/>
      <c r="AB168" s="1"/>
      <c r="AC168" s="4"/>
      <c r="AD168" s="5"/>
    </row>
    <row r="169" spans="1:30" ht="29.4" thickBot="1">
      <c r="A169" s="1" t="s">
        <v>312</v>
      </c>
      <c r="B169" s="4">
        <v>45645</v>
      </c>
      <c r="C169" s="1" t="s">
        <v>182</v>
      </c>
      <c r="D169" s="1" t="s">
        <v>183</v>
      </c>
      <c r="E169" s="1" t="s">
        <v>117</v>
      </c>
      <c r="F169" s="1" t="s">
        <v>118</v>
      </c>
      <c r="G169" s="1" t="s">
        <v>19</v>
      </c>
      <c r="H169" s="5">
        <v>1</v>
      </c>
      <c r="I169" s="5">
        <v>89.99</v>
      </c>
      <c r="J169" s="1" t="s">
        <v>57</v>
      </c>
      <c r="K169" s="1" t="s">
        <v>21</v>
      </c>
      <c r="L169" s="1" t="s">
        <v>36</v>
      </c>
      <c r="M169" s="4">
        <v>44760</v>
      </c>
      <c r="N169" s="5">
        <v>89.99</v>
      </c>
      <c r="Q169" s="1"/>
      <c r="R169" s="4"/>
      <c r="S169" s="1"/>
      <c r="T169" s="1"/>
      <c r="U169" s="1"/>
      <c r="V169" s="1"/>
      <c r="W169" s="1"/>
      <c r="X169" s="5"/>
      <c r="Y169" s="5"/>
      <c r="Z169" s="1"/>
      <c r="AA169" s="1"/>
      <c r="AB169" s="1"/>
      <c r="AC169" s="4"/>
      <c r="AD169" s="5"/>
    </row>
    <row r="170" spans="1:30" ht="29.4" thickBot="1">
      <c r="A170" s="1" t="s">
        <v>313</v>
      </c>
      <c r="B170" s="4">
        <v>45645</v>
      </c>
      <c r="C170" s="1" t="s">
        <v>147</v>
      </c>
      <c r="D170" s="1" t="s">
        <v>148</v>
      </c>
      <c r="E170" s="1" t="s">
        <v>61</v>
      </c>
      <c r="F170" s="1" t="s">
        <v>62</v>
      </c>
      <c r="G170" s="1" t="s">
        <v>19</v>
      </c>
      <c r="H170" s="5">
        <v>5</v>
      </c>
      <c r="I170" s="5">
        <v>899.99</v>
      </c>
      <c r="J170" s="1" t="s">
        <v>57</v>
      </c>
      <c r="K170" s="1" t="s">
        <v>63</v>
      </c>
      <c r="L170" s="1" t="s">
        <v>36</v>
      </c>
      <c r="M170" s="4">
        <v>44625</v>
      </c>
      <c r="N170" s="5">
        <v>4499.95</v>
      </c>
      <c r="Q170" s="1"/>
      <c r="R170" s="4"/>
      <c r="S170" s="1"/>
      <c r="T170" s="1"/>
      <c r="U170" s="1"/>
      <c r="V170" s="1"/>
      <c r="W170" s="1"/>
      <c r="X170" s="5"/>
      <c r="Y170" s="5"/>
      <c r="Z170" s="1"/>
      <c r="AA170" s="1"/>
      <c r="AB170" s="1"/>
      <c r="AC170" s="4"/>
      <c r="AD170" s="5"/>
    </row>
    <row r="171" spans="1:30" ht="29.4" thickBot="1">
      <c r="A171" s="1" t="s">
        <v>314</v>
      </c>
      <c r="B171" s="4">
        <v>45646</v>
      </c>
      <c r="C171" s="1" t="s">
        <v>42</v>
      </c>
      <c r="D171" s="1" t="s">
        <v>43</v>
      </c>
      <c r="E171" s="1" t="s">
        <v>44</v>
      </c>
      <c r="F171" s="1" t="s">
        <v>45</v>
      </c>
      <c r="G171" s="1" t="s">
        <v>46</v>
      </c>
      <c r="H171" s="5">
        <v>2</v>
      </c>
      <c r="I171" s="5">
        <v>149.99</v>
      </c>
      <c r="J171" s="1" t="s">
        <v>20</v>
      </c>
      <c r="K171" s="1" t="s">
        <v>35</v>
      </c>
      <c r="L171" s="1" t="s">
        <v>22</v>
      </c>
      <c r="M171" s="4">
        <v>45239</v>
      </c>
      <c r="N171" s="5">
        <v>299.98</v>
      </c>
      <c r="Q171" s="1"/>
      <c r="R171" s="4"/>
      <c r="S171" s="1"/>
      <c r="T171" s="1"/>
      <c r="U171" s="1"/>
      <c r="V171" s="1"/>
      <c r="W171" s="1"/>
      <c r="X171" s="5"/>
      <c r="Y171" s="5"/>
      <c r="Z171" s="1"/>
      <c r="AA171" s="1"/>
      <c r="AB171" s="1"/>
      <c r="AC171" s="4"/>
      <c r="AD171" s="5"/>
    </row>
    <row r="172" spans="1:30" ht="29.4" thickBot="1">
      <c r="A172" s="1" t="s">
        <v>315</v>
      </c>
      <c r="B172" s="4">
        <v>45648</v>
      </c>
      <c r="C172" s="1" t="s">
        <v>112</v>
      </c>
      <c r="D172" s="1" t="s">
        <v>113</v>
      </c>
      <c r="E172" s="1" t="s">
        <v>52</v>
      </c>
      <c r="F172" s="1" t="s">
        <v>53</v>
      </c>
      <c r="G172" s="1" t="s">
        <v>19</v>
      </c>
      <c r="H172" s="5">
        <v>2</v>
      </c>
      <c r="I172" s="5">
        <v>149.99</v>
      </c>
      <c r="J172" s="1" t="s">
        <v>57</v>
      </c>
      <c r="K172" s="1" t="s">
        <v>50</v>
      </c>
      <c r="L172" s="1" t="s">
        <v>27</v>
      </c>
      <c r="M172" s="4">
        <v>45280</v>
      </c>
      <c r="N172" s="5">
        <v>299.98</v>
      </c>
      <c r="Q172" s="1"/>
      <c r="R172" s="4"/>
      <c r="S172" s="1"/>
      <c r="T172" s="1"/>
      <c r="U172" s="1"/>
      <c r="V172" s="1"/>
      <c r="W172" s="1"/>
      <c r="X172" s="5"/>
      <c r="Y172" s="5"/>
      <c r="Z172" s="1"/>
      <c r="AA172" s="1"/>
      <c r="AB172" s="1"/>
      <c r="AC172" s="4"/>
      <c r="AD172" s="5"/>
    </row>
    <row r="173" spans="1:30" ht="29.4" thickBot="1">
      <c r="A173" s="1" t="s">
        <v>316</v>
      </c>
      <c r="B173" s="4">
        <v>45648</v>
      </c>
      <c r="C173" s="1" t="s">
        <v>182</v>
      </c>
      <c r="D173" s="1" t="s">
        <v>183</v>
      </c>
      <c r="E173" s="1" t="s">
        <v>44</v>
      </c>
      <c r="F173" s="1" t="s">
        <v>45</v>
      </c>
      <c r="G173" s="1" t="s">
        <v>46</v>
      </c>
      <c r="H173" s="5">
        <v>3</v>
      </c>
      <c r="I173" s="5">
        <v>149.99</v>
      </c>
      <c r="J173" s="1" t="s">
        <v>57</v>
      </c>
      <c r="K173" s="1" t="s">
        <v>40</v>
      </c>
      <c r="L173" s="1" t="s">
        <v>36</v>
      </c>
      <c r="M173" s="4">
        <v>44522</v>
      </c>
      <c r="N173" s="5">
        <v>449.97</v>
      </c>
      <c r="Q173" s="1"/>
      <c r="R173" s="4"/>
      <c r="S173" s="1"/>
      <c r="T173" s="1"/>
      <c r="U173" s="1"/>
      <c r="V173" s="1"/>
      <c r="W173" s="1"/>
      <c r="X173" s="5"/>
      <c r="Y173" s="5"/>
      <c r="Z173" s="1"/>
      <c r="AA173" s="1"/>
      <c r="AB173" s="1"/>
      <c r="AC173" s="4"/>
      <c r="AD173" s="5"/>
    </row>
    <row r="174" spans="1:30" ht="29.4" thickBot="1">
      <c r="A174" s="1" t="s">
        <v>317</v>
      </c>
      <c r="B174" s="4">
        <v>45649</v>
      </c>
      <c r="C174" s="1" t="s">
        <v>29</v>
      </c>
      <c r="D174" s="1" t="s">
        <v>30</v>
      </c>
      <c r="E174" s="1" t="s">
        <v>105</v>
      </c>
      <c r="F174" s="1" t="s">
        <v>106</v>
      </c>
      <c r="G174" s="1" t="s">
        <v>46</v>
      </c>
      <c r="H174" s="5">
        <v>2</v>
      </c>
      <c r="I174" s="5">
        <v>299.99</v>
      </c>
      <c r="J174" s="1" t="s">
        <v>34</v>
      </c>
      <c r="K174" s="1" t="s">
        <v>35</v>
      </c>
      <c r="L174" s="1" t="s">
        <v>22</v>
      </c>
      <c r="M174" s="4">
        <v>44721</v>
      </c>
      <c r="N174" s="5">
        <v>599.98</v>
      </c>
      <c r="Q174" s="1"/>
      <c r="R174" s="4"/>
      <c r="S174" s="1"/>
      <c r="T174" s="1"/>
      <c r="U174" s="1"/>
      <c r="V174" s="1"/>
      <c r="W174" s="1"/>
      <c r="X174" s="5"/>
      <c r="Y174" s="5"/>
      <c r="Z174" s="1"/>
      <c r="AA174" s="1"/>
      <c r="AB174" s="1"/>
      <c r="AC174" s="4"/>
      <c r="AD174" s="5"/>
    </row>
    <row r="175" spans="1:30" ht="29.4" thickBot="1">
      <c r="A175" s="1" t="s">
        <v>318</v>
      </c>
      <c r="B175" s="4">
        <v>45654</v>
      </c>
      <c r="C175" s="1" t="s">
        <v>42</v>
      </c>
      <c r="D175" s="1" t="s">
        <v>43</v>
      </c>
      <c r="E175" s="1" t="s">
        <v>105</v>
      </c>
      <c r="F175" s="1" t="s">
        <v>106</v>
      </c>
      <c r="G175" s="1" t="s">
        <v>46</v>
      </c>
      <c r="H175" s="5">
        <v>2</v>
      </c>
      <c r="I175" s="5">
        <v>299.99</v>
      </c>
      <c r="J175" s="1" t="s">
        <v>20</v>
      </c>
      <c r="K175" s="1" t="s">
        <v>50</v>
      </c>
      <c r="L175" s="1" t="s">
        <v>22</v>
      </c>
      <c r="M175" s="4">
        <v>44771</v>
      </c>
      <c r="N175" s="5">
        <v>599.98</v>
      </c>
      <c r="Q175" s="1"/>
      <c r="R175" s="4"/>
      <c r="S175" s="1"/>
      <c r="T175" s="1"/>
      <c r="U175" s="1"/>
      <c r="V175" s="1"/>
      <c r="W175" s="1"/>
      <c r="X175" s="5"/>
      <c r="Y175" s="5"/>
      <c r="Z175" s="1"/>
      <c r="AA175" s="1"/>
      <c r="AB175" s="1"/>
      <c r="AC175" s="4"/>
      <c r="AD175" s="5"/>
    </row>
    <row r="176" spans="1:30" ht="29.4" thickBot="1">
      <c r="A176" s="1" t="s">
        <v>319</v>
      </c>
      <c r="B176" s="4">
        <v>45654</v>
      </c>
      <c r="C176" s="1" t="s">
        <v>120</v>
      </c>
      <c r="D176" s="1" t="s">
        <v>121</v>
      </c>
      <c r="E176" s="1" t="s">
        <v>126</v>
      </c>
      <c r="F176" s="1" t="s">
        <v>127</v>
      </c>
      <c r="G176" s="1" t="s">
        <v>46</v>
      </c>
      <c r="H176" s="5">
        <v>4</v>
      </c>
      <c r="I176" s="5">
        <v>199.99</v>
      </c>
      <c r="J176" s="1" t="s">
        <v>26</v>
      </c>
      <c r="K176" s="1" t="s">
        <v>21</v>
      </c>
      <c r="L176" s="1" t="s">
        <v>22</v>
      </c>
      <c r="M176" s="4">
        <v>44523</v>
      </c>
      <c r="N176" s="5">
        <v>799.96</v>
      </c>
      <c r="Q176" s="1"/>
      <c r="R176" s="4"/>
      <c r="S176" s="1"/>
      <c r="T176" s="1"/>
      <c r="U176" s="1"/>
      <c r="V176" s="1"/>
      <c r="W176" s="1"/>
      <c r="X176" s="5"/>
      <c r="Y176" s="5"/>
      <c r="Z176" s="1"/>
      <c r="AA176" s="1"/>
      <c r="AB176" s="1"/>
      <c r="AC176" s="4"/>
      <c r="AD176" s="5"/>
    </row>
    <row r="177" spans="1:30" ht="29.4" thickBot="1">
      <c r="A177" s="1" t="s">
        <v>320</v>
      </c>
      <c r="B177" s="4">
        <v>45655</v>
      </c>
      <c r="C177" s="1" t="s">
        <v>59</v>
      </c>
      <c r="D177" s="1" t="s">
        <v>60</v>
      </c>
      <c r="E177" s="1" t="s">
        <v>117</v>
      </c>
      <c r="F177" s="1" t="s">
        <v>118</v>
      </c>
      <c r="G177" s="1" t="s">
        <v>19</v>
      </c>
      <c r="H177" s="5">
        <v>1</v>
      </c>
      <c r="I177" s="5">
        <v>89.99</v>
      </c>
      <c r="J177" s="1" t="s">
        <v>26</v>
      </c>
      <c r="K177" s="1" t="s">
        <v>35</v>
      </c>
      <c r="L177" s="1" t="s">
        <v>27</v>
      </c>
      <c r="M177" s="4">
        <v>44591</v>
      </c>
      <c r="N177" s="5">
        <v>89.99</v>
      </c>
      <c r="Q177" s="1"/>
      <c r="R177" s="4"/>
      <c r="S177" s="1"/>
      <c r="T177" s="1"/>
      <c r="U177" s="1"/>
      <c r="V177" s="1"/>
      <c r="W177" s="1"/>
      <c r="X177" s="5"/>
      <c r="Y177" s="5"/>
      <c r="Z177" s="1"/>
      <c r="AA177" s="1"/>
      <c r="AB177" s="1"/>
      <c r="AC177" s="4"/>
      <c r="AD177" s="5"/>
    </row>
    <row r="178" spans="1:30" ht="29.4" thickBot="1">
      <c r="A178" s="1" t="s">
        <v>321</v>
      </c>
      <c r="B178" s="4">
        <v>45655</v>
      </c>
      <c r="C178" s="1" t="s">
        <v>108</v>
      </c>
      <c r="D178" s="1" t="s">
        <v>109</v>
      </c>
      <c r="E178" s="1" t="s">
        <v>44</v>
      </c>
      <c r="F178" s="1" t="s">
        <v>45</v>
      </c>
      <c r="G178" s="1" t="s">
        <v>46</v>
      </c>
      <c r="H178" s="5">
        <v>5</v>
      </c>
      <c r="I178" s="5">
        <v>149.99</v>
      </c>
      <c r="J178" s="1" t="s">
        <v>20</v>
      </c>
      <c r="K178" s="1" t="s">
        <v>21</v>
      </c>
      <c r="L178" s="1" t="s">
        <v>27</v>
      </c>
      <c r="M178" s="4">
        <v>45347</v>
      </c>
      <c r="N178" s="5">
        <v>749.95</v>
      </c>
      <c r="Q178" s="1"/>
      <c r="R178" s="4"/>
      <c r="S178" s="1"/>
      <c r="T178" s="1"/>
      <c r="U178" s="1"/>
      <c r="V178" s="1"/>
      <c r="W178" s="1"/>
      <c r="X178" s="5"/>
      <c r="Y178" s="5"/>
      <c r="Z178" s="1"/>
      <c r="AA178" s="1"/>
      <c r="AB178" s="1"/>
      <c r="AC178" s="4"/>
      <c r="AD178" s="5"/>
    </row>
    <row r="179" spans="1:30" ht="29.4" thickBot="1">
      <c r="A179" s="1" t="s">
        <v>322</v>
      </c>
      <c r="B179" s="4">
        <v>45657</v>
      </c>
      <c r="C179" s="1" t="s">
        <v>86</v>
      </c>
      <c r="D179" s="1" t="s">
        <v>87</v>
      </c>
      <c r="E179" s="1" t="s">
        <v>61</v>
      </c>
      <c r="F179" s="1" t="s">
        <v>62</v>
      </c>
      <c r="G179" s="1" t="s">
        <v>19</v>
      </c>
      <c r="H179" s="5">
        <v>1</v>
      </c>
      <c r="I179" s="5">
        <v>899.99</v>
      </c>
      <c r="J179" s="1" t="s">
        <v>34</v>
      </c>
      <c r="K179" s="1" t="s">
        <v>40</v>
      </c>
      <c r="L179" s="1" t="s">
        <v>27</v>
      </c>
      <c r="M179" s="4">
        <v>45050</v>
      </c>
      <c r="N179" s="5">
        <v>899.99</v>
      </c>
      <c r="Q179" s="1"/>
      <c r="R179" s="4"/>
      <c r="S179" s="1"/>
      <c r="T179" s="1"/>
      <c r="U179" s="1"/>
      <c r="V179" s="1"/>
      <c r="W179" s="1"/>
      <c r="X179" s="5"/>
      <c r="Y179" s="5"/>
      <c r="Z179" s="1"/>
      <c r="AA179" s="1"/>
      <c r="AB179" s="1"/>
      <c r="AC179" s="4"/>
      <c r="AD179" s="5"/>
    </row>
    <row r="180" spans="1:30" ht="29.4" thickBot="1">
      <c r="A180" s="1" t="s">
        <v>323</v>
      </c>
      <c r="B180" s="4">
        <v>45660</v>
      </c>
      <c r="C180" s="1" t="s">
        <v>147</v>
      </c>
      <c r="D180" s="1" t="s">
        <v>148</v>
      </c>
      <c r="E180" s="1" t="s">
        <v>117</v>
      </c>
      <c r="F180" s="1" t="s">
        <v>118</v>
      </c>
      <c r="G180" s="1" t="s">
        <v>19</v>
      </c>
      <c r="H180" s="5">
        <v>2</v>
      </c>
      <c r="I180" s="5">
        <v>89.99</v>
      </c>
      <c r="J180" s="1" t="s">
        <v>26</v>
      </c>
      <c r="K180" s="1" t="s">
        <v>35</v>
      </c>
      <c r="L180" s="1" t="s">
        <v>27</v>
      </c>
      <c r="M180" s="4">
        <v>44564</v>
      </c>
      <c r="N180" s="5">
        <v>179.98</v>
      </c>
      <c r="Q180" s="1"/>
      <c r="R180" s="4"/>
      <c r="S180" s="1"/>
      <c r="T180" s="1"/>
      <c r="U180" s="1"/>
      <c r="V180" s="1"/>
      <c r="W180" s="1"/>
      <c r="X180" s="5"/>
      <c r="Y180" s="5"/>
      <c r="Z180" s="1"/>
      <c r="AA180" s="1"/>
      <c r="AB180" s="1"/>
      <c r="AC180" s="4"/>
      <c r="AD180" s="5"/>
    </row>
    <row r="181" spans="1:30" ht="29.4" thickBot="1">
      <c r="A181" s="1" t="s">
        <v>324</v>
      </c>
      <c r="B181" s="4">
        <v>45661</v>
      </c>
      <c r="C181" s="1" t="s">
        <v>325</v>
      </c>
      <c r="D181" s="1" t="s">
        <v>326</v>
      </c>
      <c r="E181" s="1" t="s">
        <v>61</v>
      </c>
      <c r="F181" s="1" t="s">
        <v>62</v>
      </c>
      <c r="G181" s="1" t="s">
        <v>19</v>
      </c>
      <c r="H181" s="5">
        <v>1</v>
      </c>
      <c r="I181" s="5">
        <v>899.99</v>
      </c>
      <c r="J181" s="1" t="s">
        <v>34</v>
      </c>
      <c r="K181" s="1" t="s">
        <v>40</v>
      </c>
      <c r="L181" s="1" t="s">
        <v>36</v>
      </c>
      <c r="M181" s="4">
        <v>44752</v>
      </c>
      <c r="N181" s="5">
        <v>899.99</v>
      </c>
      <c r="Q181" s="1"/>
      <c r="R181" s="4"/>
      <c r="S181" s="1"/>
      <c r="T181" s="1"/>
      <c r="U181" s="1"/>
      <c r="V181" s="1"/>
      <c r="W181" s="1"/>
      <c r="X181" s="5"/>
      <c r="Y181" s="5"/>
      <c r="Z181" s="1"/>
      <c r="AA181" s="1"/>
      <c r="AB181" s="1"/>
      <c r="AC181" s="4"/>
      <c r="AD181" s="5"/>
    </row>
    <row r="182" spans="1:30" ht="29.4" thickBot="1">
      <c r="A182" s="1" t="s">
        <v>327</v>
      </c>
      <c r="B182" s="4">
        <v>45663</v>
      </c>
      <c r="C182" s="1" t="s">
        <v>129</v>
      </c>
      <c r="D182" s="1" t="s">
        <v>130</v>
      </c>
      <c r="E182" s="1" t="s">
        <v>52</v>
      </c>
      <c r="F182" s="1" t="s">
        <v>53</v>
      </c>
      <c r="G182" s="1" t="s">
        <v>19</v>
      </c>
      <c r="H182" s="5">
        <v>5</v>
      </c>
      <c r="I182" s="5">
        <v>149.99</v>
      </c>
      <c r="J182" s="1" t="s">
        <v>34</v>
      </c>
      <c r="K182" s="1" t="s">
        <v>63</v>
      </c>
      <c r="L182" s="1" t="s">
        <v>27</v>
      </c>
      <c r="M182" s="4">
        <v>44824</v>
      </c>
      <c r="N182" s="5">
        <v>749.95</v>
      </c>
      <c r="Q182" s="1"/>
      <c r="R182" s="4"/>
      <c r="S182" s="1"/>
      <c r="T182" s="1"/>
      <c r="U182" s="1"/>
      <c r="V182" s="1"/>
      <c r="W182" s="1"/>
      <c r="X182" s="5"/>
      <c r="Y182" s="5"/>
      <c r="Z182" s="1"/>
      <c r="AA182" s="1"/>
      <c r="AB182" s="1"/>
      <c r="AC182" s="4"/>
      <c r="AD182" s="5"/>
    </row>
    <row r="183" spans="1:30" ht="29.4" thickBot="1">
      <c r="A183" s="1" t="s">
        <v>328</v>
      </c>
      <c r="B183" s="4">
        <v>45663</v>
      </c>
      <c r="C183" s="1" t="s">
        <v>42</v>
      </c>
      <c r="D183" s="1" t="s">
        <v>43</v>
      </c>
      <c r="E183" s="1" t="s">
        <v>105</v>
      </c>
      <c r="F183" s="1" t="s">
        <v>106</v>
      </c>
      <c r="G183" s="1" t="s">
        <v>46</v>
      </c>
      <c r="H183" s="5">
        <v>3</v>
      </c>
      <c r="I183" s="5">
        <v>299.99</v>
      </c>
      <c r="J183" s="1" t="s">
        <v>20</v>
      </c>
      <c r="K183" s="1" t="s">
        <v>35</v>
      </c>
      <c r="L183" s="1" t="s">
        <v>36</v>
      </c>
      <c r="M183" s="4">
        <v>44422</v>
      </c>
      <c r="N183" s="5">
        <v>899.97</v>
      </c>
      <c r="Q183" s="1"/>
      <c r="R183" s="4"/>
      <c r="S183" s="1"/>
      <c r="T183" s="1"/>
      <c r="U183" s="1"/>
      <c r="V183" s="1"/>
      <c r="W183" s="1"/>
      <c r="X183" s="5"/>
      <c r="Y183" s="5"/>
      <c r="Z183" s="1"/>
      <c r="AA183" s="1"/>
      <c r="AB183" s="1"/>
      <c r="AC183" s="4"/>
      <c r="AD183" s="5"/>
    </row>
    <row r="184" spans="1:30" ht="29.4" thickBot="1">
      <c r="A184" s="1" t="s">
        <v>329</v>
      </c>
      <c r="B184" s="4">
        <v>45666</v>
      </c>
      <c r="C184" s="1" t="s">
        <v>65</v>
      </c>
      <c r="D184" s="1" t="s">
        <v>66</v>
      </c>
      <c r="E184" s="1" t="s">
        <v>80</v>
      </c>
      <c r="F184" s="1" t="s">
        <v>81</v>
      </c>
      <c r="G184" s="1" t="s">
        <v>19</v>
      </c>
      <c r="H184" s="5">
        <v>3</v>
      </c>
      <c r="I184" s="5">
        <v>699.99</v>
      </c>
      <c r="J184" s="1" t="s">
        <v>26</v>
      </c>
      <c r="K184" s="1" t="s">
        <v>21</v>
      </c>
      <c r="L184" s="1" t="s">
        <v>27</v>
      </c>
      <c r="M184" s="4">
        <v>45105</v>
      </c>
      <c r="N184" s="5">
        <v>2099.9699999999998</v>
      </c>
      <c r="Q184" s="1"/>
      <c r="R184" s="4"/>
      <c r="S184" s="1"/>
      <c r="T184" s="1"/>
      <c r="U184" s="1"/>
      <c r="V184" s="1"/>
      <c r="W184" s="1"/>
      <c r="X184" s="5"/>
      <c r="Y184" s="5"/>
      <c r="Z184" s="1"/>
      <c r="AA184" s="1"/>
      <c r="AB184" s="1"/>
      <c r="AC184" s="4"/>
      <c r="AD184" s="5"/>
    </row>
    <row r="185" spans="1:30" ht="29.4" thickBot="1">
      <c r="A185" s="1" t="s">
        <v>330</v>
      </c>
      <c r="B185" s="4">
        <v>45667</v>
      </c>
      <c r="C185" s="1" t="s">
        <v>108</v>
      </c>
      <c r="D185" s="1" t="s">
        <v>109</v>
      </c>
      <c r="E185" s="1" t="s">
        <v>126</v>
      </c>
      <c r="F185" s="1" t="s">
        <v>127</v>
      </c>
      <c r="G185" s="1" t="s">
        <v>46</v>
      </c>
      <c r="H185" s="5">
        <v>5</v>
      </c>
      <c r="I185" s="5">
        <v>199.99</v>
      </c>
      <c r="J185" s="1" t="s">
        <v>34</v>
      </c>
      <c r="K185" s="1" t="s">
        <v>21</v>
      </c>
      <c r="L185" s="1" t="s">
        <v>36</v>
      </c>
      <c r="M185" s="4">
        <v>44633</v>
      </c>
      <c r="N185" s="5">
        <v>999.95</v>
      </c>
      <c r="Q185" s="1"/>
      <c r="R185" s="4"/>
      <c r="S185" s="1"/>
      <c r="T185" s="1"/>
      <c r="U185" s="1"/>
      <c r="V185" s="1"/>
      <c r="W185" s="1"/>
      <c r="X185" s="5"/>
      <c r="Y185" s="5"/>
      <c r="Z185" s="1"/>
      <c r="AA185" s="1"/>
      <c r="AB185" s="1"/>
      <c r="AC185" s="4"/>
      <c r="AD185" s="5"/>
    </row>
    <row r="186" spans="1:30" ht="29.4" thickBot="1">
      <c r="A186" s="1" t="s">
        <v>331</v>
      </c>
      <c r="B186" s="4">
        <v>45667</v>
      </c>
      <c r="C186" s="1" t="s">
        <v>93</v>
      </c>
      <c r="D186" s="1" t="s">
        <v>94</v>
      </c>
      <c r="E186" s="1" t="s">
        <v>17</v>
      </c>
      <c r="F186" s="1" t="s">
        <v>18</v>
      </c>
      <c r="G186" s="1" t="s">
        <v>19</v>
      </c>
      <c r="H186" s="5">
        <v>5</v>
      </c>
      <c r="I186" s="5">
        <v>249.99</v>
      </c>
      <c r="J186" s="1" t="s">
        <v>26</v>
      </c>
      <c r="K186" s="1" t="s">
        <v>35</v>
      </c>
      <c r="L186" s="1" t="s">
        <v>22</v>
      </c>
      <c r="M186" s="4">
        <v>45330</v>
      </c>
      <c r="N186" s="5">
        <v>1249.95</v>
      </c>
      <c r="Q186" s="1"/>
      <c r="R186" s="4"/>
      <c r="S186" s="1"/>
      <c r="T186" s="1"/>
      <c r="U186" s="1"/>
      <c r="V186" s="1"/>
      <c r="W186" s="1"/>
      <c r="X186" s="5"/>
      <c r="Y186" s="5"/>
      <c r="Z186" s="1"/>
      <c r="AA186" s="1"/>
      <c r="AB186" s="1"/>
      <c r="AC186" s="4"/>
      <c r="AD186" s="5"/>
    </row>
    <row r="187" spans="1:30" ht="29.4" thickBot="1">
      <c r="A187" s="1" t="s">
        <v>332</v>
      </c>
      <c r="B187" s="4">
        <v>45668</v>
      </c>
      <c r="C187" s="1" t="s">
        <v>138</v>
      </c>
      <c r="D187" s="1" t="s">
        <v>139</v>
      </c>
      <c r="E187" s="1" t="s">
        <v>52</v>
      </c>
      <c r="F187" s="1" t="s">
        <v>53</v>
      </c>
      <c r="G187" s="1" t="s">
        <v>19</v>
      </c>
      <c r="H187" s="5">
        <v>4</v>
      </c>
      <c r="I187" s="5">
        <v>149.99</v>
      </c>
      <c r="J187" s="1" t="s">
        <v>57</v>
      </c>
      <c r="K187" s="1" t="s">
        <v>63</v>
      </c>
      <c r="L187" s="1" t="s">
        <v>36</v>
      </c>
      <c r="M187" s="4">
        <v>44536</v>
      </c>
      <c r="N187" s="5">
        <v>599.96</v>
      </c>
      <c r="Q187" s="1"/>
      <c r="R187" s="4"/>
      <c r="S187" s="1"/>
      <c r="T187" s="1"/>
      <c r="U187" s="1"/>
      <c r="V187" s="1"/>
      <c r="W187" s="1"/>
      <c r="X187" s="5"/>
      <c r="Y187" s="5"/>
      <c r="Z187" s="1"/>
      <c r="AA187" s="1"/>
      <c r="AB187" s="1"/>
      <c r="AC187" s="4"/>
      <c r="AD187" s="5"/>
    </row>
    <row r="188" spans="1:30" ht="29.4" thickBot="1">
      <c r="A188" s="1" t="s">
        <v>333</v>
      </c>
      <c r="B188" s="4">
        <v>45668</v>
      </c>
      <c r="C188" s="1" t="s">
        <v>78</v>
      </c>
      <c r="D188" s="1" t="s">
        <v>79</v>
      </c>
      <c r="E188" s="1" t="s">
        <v>80</v>
      </c>
      <c r="F188" s="1" t="s">
        <v>81</v>
      </c>
      <c r="G188" s="1" t="s">
        <v>19</v>
      </c>
      <c r="H188" s="5">
        <v>3</v>
      </c>
      <c r="I188" s="5">
        <v>699.99</v>
      </c>
      <c r="J188" s="1" t="s">
        <v>20</v>
      </c>
      <c r="K188" s="1" t="s">
        <v>40</v>
      </c>
      <c r="L188" s="1" t="s">
        <v>27</v>
      </c>
      <c r="M188" s="4">
        <v>44602</v>
      </c>
      <c r="N188" s="5">
        <v>2099.9699999999998</v>
      </c>
      <c r="Q188" s="1"/>
      <c r="R188" s="4"/>
      <c r="S188" s="1"/>
      <c r="T188" s="1"/>
      <c r="U188" s="1"/>
      <c r="V188" s="1"/>
      <c r="W188" s="1"/>
      <c r="X188" s="5"/>
      <c r="Y188" s="5"/>
      <c r="Z188" s="1"/>
      <c r="AA188" s="1"/>
      <c r="AB188" s="1"/>
      <c r="AC188" s="4"/>
      <c r="AD188" s="5"/>
    </row>
    <row r="189" spans="1:30" ht="29.4" thickBot="1">
      <c r="A189" s="1" t="s">
        <v>334</v>
      </c>
      <c r="B189" s="4">
        <v>45670</v>
      </c>
      <c r="C189" s="1" t="s">
        <v>293</v>
      </c>
      <c r="D189" s="1" t="s">
        <v>294</v>
      </c>
      <c r="E189" s="1" t="s">
        <v>114</v>
      </c>
      <c r="F189" s="1" t="s">
        <v>115</v>
      </c>
      <c r="G189" s="1" t="s">
        <v>33</v>
      </c>
      <c r="H189" s="5">
        <v>1</v>
      </c>
      <c r="I189" s="5">
        <v>79.989999999999995</v>
      </c>
      <c r="J189" s="1" t="s">
        <v>26</v>
      </c>
      <c r="K189" s="1" t="s">
        <v>35</v>
      </c>
      <c r="L189" s="1" t="s">
        <v>22</v>
      </c>
      <c r="M189" s="4">
        <v>45322</v>
      </c>
      <c r="N189" s="5">
        <v>79.989999999999995</v>
      </c>
      <c r="Q189" s="1"/>
      <c r="R189" s="4"/>
      <c r="S189" s="1"/>
      <c r="T189" s="1"/>
      <c r="U189" s="1"/>
      <c r="V189" s="1"/>
      <c r="W189" s="1"/>
      <c r="X189" s="5"/>
      <c r="Y189" s="5"/>
      <c r="Z189" s="1"/>
      <c r="AA189" s="1"/>
      <c r="AB189" s="1"/>
      <c r="AC189" s="4"/>
      <c r="AD189" s="5"/>
    </row>
    <row r="190" spans="1:30" ht="29.4" thickBot="1">
      <c r="A190" s="1" t="s">
        <v>335</v>
      </c>
      <c r="B190" s="4">
        <v>45670</v>
      </c>
      <c r="C190" s="1" t="s">
        <v>86</v>
      </c>
      <c r="D190" s="1" t="s">
        <v>87</v>
      </c>
      <c r="E190" s="1" t="s">
        <v>105</v>
      </c>
      <c r="F190" s="1" t="s">
        <v>106</v>
      </c>
      <c r="G190" s="1" t="s">
        <v>46</v>
      </c>
      <c r="H190" s="5">
        <v>1</v>
      </c>
      <c r="I190" s="5">
        <v>299.99</v>
      </c>
      <c r="J190" s="1" t="s">
        <v>26</v>
      </c>
      <c r="K190" s="1" t="s">
        <v>40</v>
      </c>
      <c r="L190" s="1" t="s">
        <v>22</v>
      </c>
      <c r="M190" s="4">
        <v>44436</v>
      </c>
      <c r="N190" s="5">
        <v>299.99</v>
      </c>
      <c r="Q190" s="1"/>
      <c r="R190" s="4"/>
      <c r="S190" s="1"/>
      <c r="T190" s="1"/>
      <c r="U190" s="1"/>
      <c r="V190" s="1"/>
      <c r="W190" s="1"/>
      <c r="X190" s="5"/>
      <c r="Y190" s="5"/>
      <c r="Z190" s="1"/>
      <c r="AA190" s="1"/>
      <c r="AB190" s="1"/>
      <c r="AC190" s="4"/>
      <c r="AD190" s="5"/>
    </row>
    <row r="191" spans="1:30" ht="29.4" thickBot="1">
      <c r="A191" s="1" t="s">
        <v>336</v>
      </c>
      <c r="B191" s="4">
        <v>45671</v>
      </c>
      <c r="C191" s="1" t="s">
        <v>158</v>
      </c>
      <c r="D191" s="1" t="s">
        <v>159</v>
      </c>
      <c r="E191" s="1" t="s">
        <v>17</v>
      </c>
      <c r="F191" s="1" t="s">
        <v>18</v>
      </c>
      <c r="G191" s="1" t="s">
        <v>19</v>
      </c>
      <c r="H191" s="5">
        <v>4</v>
      </c>
      <c r="I191" s="5">
        <v>249.99</v>
      </c>
      <c r="J191" s="1" t="s">
        <v>26</v>
      </c>
      <c r="K191" s="1" t="s">
        <v>40</v>
      </c>
      <c r="L191" s="1" t="s">
        <v>27</v>
      </c>
      <c r="M191" s="4">
        <v>44460</v>
      </c>
      <c r="N191" s="5">
        <v>999.96</v>
      </c>
      <c r="Q191" s="1"/>
      <c r="R191" s="4"/>
      <c r="S191" s="1"/>
      <c r="T191" s="1"/>
      <c r="U191" s="1"/>
      <c r="V191" s="1"/>
      <c r="W191" s="1"/>
      <c r="X191" s="5"/>
      <c r="Y191" s="5"/>
      <c r="Z191" s="1"/>
      <c r="AA191" s="1"/>
      <c r="AB191" s="1"/>
      <c r="AC191" s="4"/>
      <c r="AD191" s="5"/>
    </row>
    <row r="192" spans="1:30" ht="29.4" thickBot="1">
      <c r="A192" s="1" t="s">
        <v>337</v>
      </c>
      <c r="B192" s="4">
        <v>45671</v>
      </c>
      <c r="C192" s="1" t="s">
        <v>120</v>
      </c>
      <c r="D192" s="1" t="s">
        <v>121</v>
      </c>
      <c r="E192" s="1" t="s">
        <v>52</v>
      </c>
      <c r="F192" s="1" t="s">
        <v>53</v>
      </c>
      <c r="G192" s="1" t="s">
        <v>19</v>
      </c>
      <c r="H192" s="5">
        <v>2</v>
      </c>
      <c r="I192" s="5">
        <v>149.99</v>
      </c>
      <c r="J192" s="1" t="s">
        <v>20</v>
      </c>
      <c r="K192" s="1" t="s">
        <v>40</v>
      </c>
      <c r="L192" s="1" t="s">
        <v>36</v>
      </c>
      <c r="M192" s="4">
        <v>44913</v>
      </c>
      <c r="N192" s="5">
        <v>299.98</v>
      </c>
      <c r="Q192" s="1"/>
      <c r="R192" s="4"/>
      <c r="S192" s="1"/>
      <c r="T192" s="1"/>
      <c r="U192" s="1"/>
      <c r="V192" s="1"/>
      <c r="W192" s="1"/>
      <c r="X192" s="5"/>
      <c r="Y192" s="5"/>
      <c r="Z192" s="1"/>
      <c r="AA192" s="1"/>
      <c r="AB192" s="1"/>
      <c r="AC192" s="4"/>
      <c r="AD192" s="5"/>
    </row>
    <row r="193" spans="1:30" ht="29.4" thickBot="1">
      <c r="A193" s="1" t="s">
        <v>338</v>
      </c>
      <c r="B193" s="4">
        <v>45671</v>
      </c>
      <c r="C193" s="1" t="s">
        <v>234</v>
      </c>
      <c r="D193" s="1" t="s">
        <v>235</v>
      </c>
      <c r="E193" s="1" t="s">
        <v>105</v>
      </c>
      <c r="F193" s="1" t="s">
        <v>106</v>
      </c>
      <c r="G193" s="1" t="s">
        <v>46</v>
      </c>
      <c r="H193" s="5">
        <v>3</v>
      </c>
      <c r="I193" s="5">
        <v>299.99</v>
      </c>
      <c r="J193" s="1" t="s">
        <v>26</v>
      </c>
      <c r="K193" s="1" t="s">
        <v>35</v>
      </c>
      <c r="L193" s="1" t="s">
        <v>22</v>
      </c>
      <c r="M193" s="4">
        <v>45204</v>
      </c>
      <c r="N193" s="5">
        <v>899.97</v>
      </c>
      <c r="Q193" s="1"/>
      <c r="R193" s="4"/>
      <c r="S193" s="1"/>
      <c r="T193" s="1"/>
      <c r="U193" s="1"/>
      <c r="V193" s="1"/>
      <c r="W193" s="1"/>
      <c r="X193" s="5"/>
      <c r="Y193" s="5"/>
      <c r="Z193" s="1"/>
      <c r="AA193" s="1"/>
      <c r="AB193" s="1"/>
      <c r="AC193" s="4"/>
      <c r="AD193" s="5"/>
    </row>
    <row r="194" spans="1:30" ht="29.4" thickBot="1">
      <c r="A194" s="1" t="s">
        <v>339</v>
      </c>
      <c r="B194" s="4">
        <v>45673</v>
      </c>
      <c r="C194" s="1" t="s">
        <v>226</v>
      </c>
      <c r="D194" s="1" t="s">
        <v>227</v>
      </c>
      <c r="E194" s="1" t="s">
        <v>126</v>
      </c>
      <c r="F194" s="1" t="s">
        <v>127</v>
      </c>
      <c r="G194" s="1" t="s">
        <v>46</v>
      </c>
      <c r="H194" s="5">
        <v>4</v>
      </c>
      <c r="I194" s="5">
        <v>199.99</v>
      </c>
      <c r="J194" s="1" t="s">
        <v>57</v>
      </c>
      <c r="K194" s="1" t="s">
        <v>35</v>
      </c>
      <c r="L194" s="1" t="s">
        <v>36</v>
      </c>
      <c r="M194" s="4">
        <v>44544</v>
      </c>
      <c r="N194" s="5">
        <v>799.96</v>
      </c>
      <c r="Q194" s="1"/>
      <c r="R194" s="4"/>
      <c r="S194" s="1"/>
      <c r="T194" s="1"/>
      <c r="U194" s="1"/>
      <c r="V194" s="1"/>
      <c r="W194" s="1"/>
      <c r="X194" s="5"/>
      <c r="Y194" s="5"/>
      <c r="Z194" s="1"/>
      <c r="AA194" s="1"/>
      <c r="AB194" s="1"/>
      <c r="AC194" s="4"/>
      <c r="AD194" s="5"/>
    </row>
    <row r="195" spans="1:30" ht="29.4" thickBot="1">
      <c r="A195" s="1" t="s">
        <v>340</v>
      </c>
      <c r="B195" s="4">
        <v>45673</v>
      </c>
      <c r="C195" s="1" t="s">
        <v>211</v>
      </c>
      <c r="D195" s="1" t="s">
        <v>212</v>
      </c>
      <c r="E195" s="1" t="s">
        <v>105</v>
      </c>
      <c r="F195" s="1" t="s">
        <v>106</v>
      </c>
      <c r="G195" s="1" t="s">
        <v>46</v>
      </c>
      <c r="H195" s="5">
        <v>5</v>
      </c>
      <c r="I195" s="5">
        <v>299.99</v>
      </c>
      <c r="J195" s="1" t="s">
        <v>57</v>
      </c>
      <c r="K195" s="1" t="s">
        <v>21</v>
      </c>
      <c r="L195" s="1" t="s">
        <v>22</v>
      </c>
      <c r="M195" s="4">
        <v>44431</v>
      </c>
      <c r="N195" s="5">
        <v>1499.95</v>
      </c>
      <c r="Q195" s="1"/>
      <c r="R195" s="4"/>
      <c r="S195" s="1"/>
      <c r="T195" s="1"/>
      <c r="U195" s="1"/>
      <c r="V195" s="1"/>
      <c r="W195" s="1"/>
      <c r="X195" s="5"/>
      <c r="Y195" s="5"/>
      <c r="Z195" s="1"/>
      <c r="AA195" s="1"/>
      <c r="AB195" s="1"/>
      <c r="AC195" s="4"/>
      <c r="AD195" s="5"/>
    </row>
    <row r="196" spans="1:30" ht="29.4" thickBot="1">
      <c r="A196" s="1" t="s">
        <v>341</v>
      </c>
      <c r="B196" s="4">
        <v>45673</v>
      </c>
      <c r="C196" s="1" t="s">
        <v>59</v>
      </c>
      <c r="D196" s="1" t="s">
        <v>60</v>
      </c>
      <c r="E196" s="1" t="s">
        <v>44</v>
      </c>
      <c r="F196" s="1" t="s">
        <v>45</v>
      </c>
      <c r="G196" s="1" t="s">
        <v>46</v>
      </c>
      <c r="H196" s="5">
        <v>3</v>
      </c>
      <c r="I196" s="5">
        <v>149.99</v>
      </c>
      <c r="J196" s="1" t="s">
        <v>26</v>
      </c>
      <c r="K196" s="1" t="s">
        <v>63</v>
      </c>
      <c r="L196" s="1" t="s">
        <v>36</v>
      </c>
      <c r="M196" s="4">
        <v>44395</v>
      </c>
      <c r="N196" s="5">
        <v>449.97</v>
      </c>
      <c r="Q196" s="1"/>
      <c r="R196" s="4"/>
      <c r="S196" s="1"/>
      <c r="T196" s="1"/>
      <c r="U196" s="1"/>
      <c r="V196" s="1"/>
      <c r="W196" s="1"/>
      <c r="X196" s="5"/>
      <c r="Y196" s="5"/>
      <c r="Z196" s="1"/>
      <c r="AA196" s="1"/>
      <c r="AB196" s="1"/>
      <c r="AC196" s="4"/>
      <c r="AD196" s="5"/>
    </row>
    <row r="197" spans="1:30" ht="29.4" thickBot="1">
      <c r="A197" s="1" t="s">
        <v>342</v>
      </c>
      <c r="B197" s="4">
        <v>45676</v>
      </c>
      <c r="C197" s="1" t="s">
        <v>129</v>
      </c>
      <c r="D197" s="1" t="s">
        <v>130</v>
      </c>
      <c r="E197" s="1" t="s">
        <v>31</v>
      </c>
      <c r="F197" s="1" t="s">
        <v>32</v>
      </c>
      <c r="G197" s="1" t="s">
        <v>33</v>
      </c>
      <c r="H197" s="5">
        <v>5</v>
      </c>
      <c r="I197" s="5">
        <v>59.99</v>
      </c>
      <c r="J197" s="1" t="s">
        <v>57</v>
      </c>
      <c r="K197" s="1" t="s">
        <v>63</v>
      </c>
      <c r="L197" s="1" t="s">
        <v>22</v>
      </c>
      <c r="M197" s="4">
        <v>44642</v>
      </c>
      <c r="N197" s="5">
        <v>299.95</v>
      </c>
      <c r="Q197" s="1"/>
      <c r="R197" s="4"/>
      <c r="S197" s="1"/>
      <c r="T197" s="1"/>
      <c r="U197" s="1"/>
      <c r="V197" s="1"/>
      <c r="W197" s="1"/>
      <c r="X197" s="5"/>
      <c r="Y197" s="5"/>
      <c r="Z197" s="1"/>
      <c r="AA197" s="1"/>
      <c r="AB197" s="1"/>
      <c r="AC197" s="4"/>
      <c r="AD197" s="5"/>
    </row>
    <row r="198" spans="1:30" ht="29.4" thickBot="1">
      <c r="A198" s="1" t="s">
        <v>343</v>
      </c>
      <c r="B198" s="4">
        <v>45682</v>
      </c>
      <c r="C198" s="1" t="s">
        <v>68</v>
      </c>
      <c r="D198" s="1" t="s">
        <v>69</v>
      </c>
      <c r="E198" s="1" t="s">
        <v>31</v>
      </c>
      <c r="F198" s="1" t="s">
        <v>32</v>
      </c>
      <c r="G198" s="1" t="s">
        <v>33</v>
      </c>
      <c r="H198" s="5">
        <v>4</v>
      </c>
      <c r="I198" s="5">
        <v>59.99</v>
      </c>
      <c r="J198" s="1" t="s">
        <v>57</v>
      </c>
      <c r="K198" s="1" t="s">
        <v>63</v>
      </c>
      <c r="L198" s="1" t="s">
        <v>36</v>
      </c>
      <c r="M198" s="4">
        <v>44564</v>
      </c>
      <c r="N198" s="5">
        <v>239.96</v>
      </c>
      <c r="Q198" s="1"/>
      <c r="R198" s="4"/>
      <c r="S198" s="1"/>
      <c r="T198" s="1"/>
      <c r="U198" s="1"/>
      <c r="V198" s="1"/>
      <c r="W198" s="1"/>
      <c r="X198" s="5"/>
      <c r="Y198" s="5"/>
      <c r="Z198" s="1"/>
      <c r="AA198" s="1"/>
      <c r="AB198" s="1"/>
      <c r="AC198" s="4"/>
      <c r="AD198" s="5"/>
    </row>
    <row r="199" spans="1:30" ht="29.4" thickBot="1">
      <c r="A199" s="1" t="s">
        <v>344</v>
      </c>
      <c r="B199" s="4">
        <v>45683</v>
      </c>
      <c r="C199" s="1" t="s">
        <v>48</v>
      </c>
      <c r="D199" s="1" t="s">
        <v>49</v>
      </c>
      <c r="E199" s="1" t="s">
        <v>17</v>
      </c>
      <c r="F199" s="1" t="s">
        <v>18</v>
      </c>
      <c r="G199" s="1" t="s">
        <v>19</v>
      </c>
      <c r="H199" s="5">
        <v>4</v>
      </c>
      <c r="I199" s="5">
        <v>249.99</v>
      </c>
      <c r="J199" s="1" t="s">
        <v>57</v>
      </c>
      <c r="K199" s="1" t="s">
        <v>21</v>
      </c>
      <c r="L199" s="1" t="s">
        <v>27</v>
      </c>
      <c r="M199" s="4">
        <v>45217</v>
      </c>
      <c r="N199" s="5">
        <v>999.96</v>
      </c>
      <c r="Q199" s="1"/>
      <c r="R199" s="4"/>
      <c r="S199" s="1"/>
      <c r="T199" s="1"/>
      <c r="U199" s="1"/>
      <c r="V199" s="1"/>
      <c r="W199" s="1"/>
      <c r="X199" s="5"/>
      <c r="Y199" s="5"/>
      <c r="Z199" s="1"/>
      <c r="AA199" s="1"/>
      <c r="AB199" s="1"/>
      <c r="AC199" s="4"/>
      <c r="AD199" s="5"/>
    </row>
    <row r="200" spans="1:30" ht="29.4" thickBot="1">
      <c r="A200" s="1" t="s">
        <v>345</v>
      </c>
      <c r="B200" s="4">
        <v>45686</v>
      </c>
      <c r="C200" s="1" t="s">
        <v>252</v>
      </c>
      <c r="D200" s="1" t="s">
        <v>253</v>
      </c>
      <c r="E200" s="1" t="s">
        <v>61</v>
      </c>
      <c r="F200" s="1" t="s">
        <v>62</v>
      </c>
      <c r="G200" s="1" t="s">
        <v>19</v>
      </c>
      <c r="H200" s="5">
        <v>4</v>
      </c>
      <c r="I200" s="5">
        <v>899.99</v>
      </c>
      <c r="J200" s="1" t="s">
        <v>34</v>
      </c>
      <c r="K200" s="1" t="s">
        <v>21</v>
      </c>
      <c r="L200" s="1" t="s">
        <v>22</v>
      </c>
      <c r="M200" s="4">
        <v>44734</v>
      </c>
      <c r="N200" s="5">
        <v>3599.96</v>
      </c>
      <c r="Q200" s="1"/>
      <c r="R200" s="4"/>
      <c r="S200" s="1"/>
      <c r="T200" s="1"/>
      <c r="U200" s="1"/>
      <c r="V200" s="1"/>
      <c r="W200" s="1"/>
      <c r="X200" s="5"/>
      <c r="Y200" s="5"/>
      <c r="Z200" s="1"/>
      <c r="AA200" s="1"/>
      <c r="AB200" s="1"/>
      <c r="AC200" s="4"/>
      <c r="AD200" s="5"/>
    </row>
    <row r="201" spans="1:30" ht="29.4" thickBot="1">
      <c r="A201" s="1" t="s">
        <v>346</v>
      </c>
      <c r="B201" s="4">
        <v>45686</v>
      </c>
      <c r="C201" s="1" t="s">
        <v>86</v>
      </c>
      <c r="D201" s="1" t="s">
        <v>87</v>
      </c>
      <c r="E201" s="1" t="s">
        <v>105</v>
      </c>
      <c r="F201" s="1" t="s">
        <v>106</v>
      </c>
      <c r="G201" s="1" t="s">
        <v>46</v>
      </c>
      <c r="H201" s="5">
        <v>3</v>
      </c>
      <c r="I201" s="5">
        <v>299.99</v>
      </c>
      <c r="J201" s="1" t="s">
        <v>57</v>
      </c>
      <c r="K201" s="1" t="s">
        <v>50</v>
      </c>
      <c r="L201" s="1" t="s">
        <v>36</v>
      </c>
      <c r="M201" s="4">
        <v>44952</v>
      </c>
      <c r="N201" s="5">
        <v>899.97</v>
      </c>
      <c r="Q201" s="1"/>
      <c r="R201" s="4"/>
      <c r="S201" s="1"/>
      <c r="T201" s="1"/>
      <c r="U201" s="1"/>
      <c r="V201" s="1"/>
      <c r="W201" s="1"/>
      <c r="X201" s="5"/>
      <c r="Y201" s="5"/>
      <c r="Z201" s="1"/>
      <c r="AA201" s="1"/>
      <c r="AB201" s="1"/>
      <c r="AC201" s="4"/>
      <c r="AD201" s="5"/>
    </row>
    <row r="202" spans="1:30" ht="29.4" thickBot="1">
      <c r="A202" s="1" t="s">
        <v>347</v>
      </c>
      <c r="B202" s="4">
        <v>45686</v>
      </c>
      <c r="C202" s="1" t="s">
        <v>293</v>
      </c>
      <c r="D202" s="1" t="s">
        <v>294</v>
      </c>
      <c r="E202" s="1" t="s">
        <v>80</v>
      </c>
      <c r="F202" s="1" t="s">
        <v>81</v>
      </c>
      <c r="G202" s="1" t="s">
        <v>19</v>
      </c>
      <c r="H202" s="5">
        <v>2</v>
      </c>
      <c r="I202" s="5">
        <v>699.99</v>
      </c>
      <c r="J202" s="1" t="s">
        <v>57</v>
      </c>
      <c r="K202" s="1" t="s">
        <v>21</v>
      </c>
      <c r="L202" s="1" t="s">
        <v>27</v>
      </c>
      <c r="M202" s="4">
        <v>44681</v>
      </c>
      <c r="N202" s="5">
        <v>1399.98</v>
      </c>
      <c r="Q202" s="1"/>
      <c r="R202" s="4"/>
      <c r="S202" s="1"/>
      <c r="T202" s="1"/>
      <c r="U202" s="1"/>
      <c r="V202" s="1"/>
      <c r="W202" s="1"/>
      <c r="X202" s="5"/>
      <c r="Y202" s="5"/>
      <c r="Z202" s="1"/>
      <c r="AA202" s="1"/>
      <c r="AB202" s="1"/>
      <c r="AC202" s="4"/>
      <c r="AD202" s="5"/>
    </row>
    <row r="203" spans="1:30" ht="29.4" thickBot="1">
      <c r="A203" s="1" t="s">
        <v>348</v>
      </c>
      <c r="B203" s="4">
        <v>45688</v>
      </c>
      <c r="C203" s="1" t="s">
        <v>65</v>
      </c>
      <c r="D203" s="1" t="s">
        <v>66</v>
      </c>
      <c r="E203" s="1" t="s">
        <v>80</v>
      </c>
      <c r="F203" s="1" t="s">
        <v>81</v>
      </c>
      <c r="G203" s="1" t="s">
        <v>19</v>
      </c>
      <c r="H203" s="5">
        <v>4</v>
      </c>
      <c r="I203" s="5">
        <v>699.99</v>
      </c>
      <c r="J203" s="1" t="s">
        <v>57</v>
      </c>
      <c r="K203" s="1" t="s">
        <v>50</v>
      </c>
      <c r="L203" s="1" t="s">
        <v>27</v>
      </c>
      <c r="M203" s="4">
        <v>44692</v>
      </c>
      <c r="N203" s="5">
        <v>2799.96</v>
      </c>
      <c r="Q203" s="1"/>
      <c r="R203" s="4"/>
      <c r="S203" s="1"/>
      <c r="T203" s="1"/>
      <c r="U203" s="1"/>
      <c r="V203" s="1"/>
      <c r="W203" s="1"/>
      <c r="X203" s="5"/>
      <c r="Y203" s="5"/>
      <c r="Z203" s="1"/>
      <c r="AA203" s="1"/>
      <c r="AB203" s="1"/>
      <c r="AC203" s="4"/>
      <c r="AD203" s="5"/>
    </row>
    <row r="204" spans="1:30" ht="29.4" thickBot="1">
      <c r="A204" s="1" t="s">
        <v>349</v>
      </c>
      <c r="B204" s="4">
        <v>45688</v>
      </c>
      <c r="C204" s="1" t="s">
        <v>123</v>
      </c>
      <c r="D204" s="1" t="s">
        <v>124</v>
      </c>
      <c r="E204" s="1" t="s">
        <v>117</v>
      </c>
      <c r="F204" s="1" t="s">
        <v>118</v>
      </c>
      <c r="G204" s="1" t="s">
        <v>19</v>
      </c>
      <c r="H204" s="5">
        <v>2</v>
      </c>
      <c r="I204" s="5">
        <v>89.99</v>
      </c>
      <c r="J204" s="1" t="s">
        <v>57</v>
      </c>
      <c r="K204" s="1" t="s">
        <v>35</v>
      </c>
      <c r="L204" s="1" t="s">
        <v>22</v>
      </c>
      <c r="M204" s="4">
        <v>44777</v>
      </c>
      <c r="N204" s="5">
        <v>179.98</v>
      </c>
      <c r="Q204" s="1"/>
      <c r="R204" s="4"/>
      <c r="S204" s="1"/>
      <c r="T204" s="1"/>
      <c r="U204" s="1"/>
      <c r="V204" s="1"/>
      <c r="W204" s="1"/>
      <c r="X204" s="5"/>
      <c r="Y204" s="5"/>
      <c r="Z204" s="1"/>
      <c r="AA204" s="1"/>
      <c r="AB204" s="1"/>
      <c r="AC204" s="4"/>
      <c r="AD204" s="5"/>
    </row>
    <row r="205" spans="1:30" ht="29.4" thickBot="1">
      <c r="A205" s="1" t="s">
        <v>350</v>
      </c>
      <c r="B205" s="4">
        <v>45688</v>
      </c>
      <c r="C205" s="1" t="s">
        <v>42</v>
      </c>
      <c r="D205" s="1" t="s">
        <v>43</v>
      </c>
      <c r="E205" s="1" t="s">
        <v>117</v>
      </c>
      <c r="F205" s="1" t="s">
        <v>118</v>
      </c>
      <c r="G205" s="1" t="s">
        <v>19</v>
      </c>
      <c r="H205" s="5">
        <v>3</v>
      </c>
      <c r="I205" s="5">
        <v>89.99</v>
      </c>
      <c r="J205" s="1" t="s">
        <v>57</v>
      </c>
      <c r="K205" s="1" t="s">
        <v>35</v>
      </c>
      <c r="L205" s="1" t="s">
        <v>27</v>
      </c>
      <c r="M205" s="4">
        <v>45307</v>
      </c>
      <c r="N205" s="5">
        <v>269.97000000000003</v>
      </c>
      <c r="Q205" s="1"/>
      <c r="R205" s="4"/>
      <c r="S205" s="1"/>
      <c r="T205" s="1"/>
      <c r="U205" s="1"/>
      <c r="V205" s="1"/>
      <c r="W205" s="1"/>
      <c r="X205" s="5"/>
      <c r="Y205" s="5"/>
      <c r="Z205" s="1"/>
      <c r="AA205" s="1"/>
      <c r="AB205" s="1"/>
      <c r="AC205" s="4"/>
      <c r="AD205" s="5"/>
    </row>
    <row r="206" spans="1:30" ht="29.4" thickBot="1">
      <c r="A206" s="1" t="s">
        <v>351</v>
      </c>
      <c r="B206" s="4">
        <v>45692</v>
      </c>
      <c r="C206" s="1" t="s">
        <v>325</v>
      </c>
      <c r="D206" s="1" t="s">
        <v>326</v>
      </c>
      <c r="E206" s="1" t="s">
        <v>31</v>
      </c>
      <c r="F206" s="1" t="s">
        <v>32</v>
      </c>
      <c r="G206" s="1" t="s">
        <v>33</v>
      </c>
      <c r="H206" s="5">
        <v>1</v>
      </c>
      <c r="I206" s="5">
        <v>59.99</v>
      </c>
      <c r="J206" s="1" t="s">
        <v>57</v>
      </c>
      <c r="K206" s="1" t="s">
        <v>21</v>
      </c>
      <c r="L206" s="1" t="s">
        <v>36</v>
      </c>
      <c r="M206" s="4">
        <v>45045</v>
      </c>
      <c r="N206" s="5">
        <v>59.99</v>
      </c>
      <c r="Q206" s="1"/>
      <c r="R206" s="4"/>
      <c r="S206" s="1"/>
      <c r="T206" s="1"/>
      <c r="U206" s="1"/>
      <c r="V206" s="1"/>
      <c r="W206" s="1"/>
      <c r="X206" s="5"/>
      <c r="Y206" s="5"/>
      <c r="Z206" s="1"/>
      <c r="AA206" s="1"/>
      <c r="AB206" s="1"/>
      <c r="AC206" s="4"/>
      <c r="AD206" s="5"/>
    </row>
    <row r="207" spans="1:30" ht="29.4" thickBot="1">
      <c r="A207" s="1" t="s">
        <v>352</v>
      </c>
      <c r="B207" s="4">
        <v>45695</v>
      </c>
      <c r="C207" s="1" t="s">
        <v>246</v>
      </c>
      <c r="D207" s="1" t="s">
        <v>247</v>
      </c>
      <c r="E207" s="1" t="s">
        <v>44</v>
      </c>
      <c r="F207" s="1" t="s">
        <v>45</v>
      </c>
      <c r="G207" s="1" t="s">
        <v>46</v>
      </c>
      <c r="H207" s="5">
        <v>3</v>
      </c>
      <c r="I207" s="5">
        <v>149.99</v>
      </c>
      <c r="J207" s="1" t="s">
        <v>57</v>
      </c>
      <c r="K207" s="1" t="s">
        <v>40</v>
      </c>
      <c r="L207" s="1" t="s">
        <v>27</v>
      </c>
      <c r="M207" s="4">
        <v>44564</v>
      </c>
      <c r="N207" s="5">
        <v>449.97</v>
      </c>
      <c r="Q207" s="1"/>
      <c r="R207" s="4"/>
      <c r="S207" s="1"/>
      <c r="T207" s="1"/>
      <c r="U207" s="1"/>
      <c r="V207" s="1"/>
      <c r="W207" s="1"/>
      <c r="X207" s="5"/>
      <c r="Y207" s="5"/>
      <c r="Z207" s="1"/>
      <c r="AA207" s="1"/>
      <c r="AB207" s="1"/>
      <c r="AC207" s="4"/>
      <c r="AD207" s="5"/>
    </row>
    <row r="208" spans="1:30" ht="29.4" thickBot="1">
      <c r="A208" s="1" t="s">
        <v>353</v>
      </c>
      <c r="B208" s="4">
        <v>45695</v>
      </c>
      <c r="C208" s="1" t="s">
        <v>93</v>
      </c>
      <c r="D208" s="1" t="s">
        <v>94</v>
      </c>
      <c r="E208" s="1" t="s">
        <v>105</v>
      </c>
      <c r="F208" s="1" t="s">
        <v>106</v>
      </c>
      <c r="G208" s="1" t="s">
        <v>46</v>
      </c>
      <c r="H208" s="5">
        <v>5</v>
      </c>
      <c r="I208" s="5">
        <v>299.99</v>
      </c>
      <c r="J208" s="1" t="s">
        <v>26</v>
      </c>
      <c r="K208" s="1" t="s">
        <v>35</v>
      </c>
      <c r="L208" s="1" t="s">
        <v>22</v>
      </c>
      <c r="M208" s="4">
        <v>44959</v>
      </c>
      <c r="N208" s="5">
        <v>1499.95</v>
      </c>
      <c r="Q208" s="1"/>
      <c r="R208" s="4"/>
      <c r="S208" s="1"/>
      <c r="T208" s="1"/>
      <c r="U208" s="1"/>
      <c r="V208" s="1"/>
      <c r="W208" s="1"/>
      <c r="X208" s="5"/>
      <c r="Y208" s="5"/>
      <c r="Z208" s="1"/>
      <c r="AA208" s="1"/>
      <c r="AB208" s="1"/>
      <c r="AC208" s="4"/>
      <c r="AD208" s="5"/>
    </row>
    <row r="209" spans="1:30" ht="29.4" thickBot="1">
      <c r="A209" s="1" t="s">
        <v>354</v>
      </c>
      <c r="B209" s="4">
        <v>45696</v>
      </c>
      <c r="C209" s="1" t="s">
        <v>150</v>
      </c>
      <c r="D209" s="1" t="s">
        <v>151</v>
      </c>
      <c r="E209" s="1" t="s">
        <v>31</v>
      </c>
      <c r="F209" s="1" t="s">
        <v>32</v>
      </c>
      <c r="G209" s="1" t="s">
        <v>33</v>
      </c>
      <c r="H209" s="5">
        <v>5</v>
      </c>
      <c r="I209" s="5">
        <v>59.99</v>
      </c>
      <c r="J209" s="1" t="s">
        <v>57</v>
      </c>
      <c r="K209" s="1" t="s">
        <v>21</v>
      </c>
      <c r="L209" s="1" t="s">
        <v>36</v>
      </c>
      <c r="M209" s="4">
        <v>45177</v>
      </c>
      <c r="N209" s="5">
        <v>299.95</v>
      </c>
      <c r="Q209" s="1"/>
      <c r="R209" s="4"/>
      <c r="S209" s="1"/>
      <c r="T209" s="1"/>
      <c r="U209" s="1"/>
      <c r="V209" s="1"/>
      <c r="W209" s="1"/>
      <c r="X209" s="5"/>
      <c r="Y209" s="5"/>
      <c r="Z209" s="1"/>
      <c r="AA209" s="1"/>
      <c r="AB209" s="1"/>
      <c r="AC209" s="4"/>
      <c r="AD209" s="5"/>
    </row>
    <row r="210" spans="1:30" ht="29.4" thickBot="1">
      <c r="A210" s="1" t="s">
        <v>355</v>
      </c>
      <c r="B210" s="4">
        <v>45701</v>
      </c>
      <c r="C210" s="1" t="s">
        <v>108</v>
      </c>
      <c r="D210" s="1" t="s">
        <v>109</v>
      </c>
      <c r="E210" s="1" t="s">
        <v>114</v>
      </c>
      <c r="F210" s="1" t="s">
        <v>115</v>
      </c>
      <c r="G210" s="1" t="s">
        <v>33</v>
      </c>
      <c r="H210" s="5">
        <v>3</v>
      </c>
      <c r="I210" s="5">
        <v>79.989999999999995</v>
      </c>
      <c r="J210" s="1" t="s">
        <v>20</v>
      </c>
      <c r="K210" s="1" t="s">
        <v>63</v>
      </c>
      <c r="L210" s="1" t="s">
        <v>27</v>
      </c>
      <c r="M210" s="4">
        <v>44436</v>
      </c>
      <c r="N210" s="5">
        <v>239.97</v>
      </c>
      <c r="Q210" s="1"/>
      <c r="R210" s="4"/>
      <c r="S210" s="1"/>
      <c r="T210" s="1"/>
      <c r="U210" s="1"/>
      <c r="V210" s="1"/>
      <c r="W210" s="1"/>
      <c r="X210" s="5"/>
      <c r="Y210" s="5"/>
      <c r="Z210" s="1"/>
      <c r="AA210" s="1"/>
      <c r="AB210" s="1"/>
      <c r="AC210" s="4"/>
      <c r="AD210" s="5"/>
    </row>
    <row r="211" spans="1:30" ht="29.4" thickBot="1">
      <c r="A211" s="1" t="s">
        <v>356</v>
      </c>
      <c r="B211" s="4">
        <v>45704</v>
      </c>
      <c r="C211" s="1" t="s">
        <v>29</v>
      </c>
      <c r="D211" s="1" t="s">
        <v>30</v>
      </c>
      <c r="E211" s="1" t="s">
        <v>126</v>
      </c>
      <c r="F211" s="1" t="s">
        <v>127</v>
      </c>
      <c r="G211" s="1" t="s">
        <v>46</v>
      </c>
      <c r="H211" s="5">
        <v>3</v>
      </c>
      <c r="I211" s="5">
        <v>199.99</v>
      </c>
      <c r="J211" s="1" t="s">
        <v>20</v>
      </c>
      <c r="K211" s="1" t="s">
        <v>21</v>
      </c>
      <c r="L211" s="1" t="s">
        <v>22</v>
      </c>
      <c r="M211" s="4">
        <v>44735</v>
      </c>
      <c r="N211" s="5">
        <v>599.97</v>
      </c>
      <c r="Q211" s="1"/>
      <c r="R211" s="4"/>
      <c r="S211" s="1"/>
      <c r="T211" s="1"/>
      <c r="U211" s="1"/>
      <c r="V211" s="1"/>
      <c r="W211" s="1"/>
      <c r="X211" s="5"/>
      <c r="Y211" s="5"/>
      <c r="Z211" s="1"/>
      <c r="AA211" s="1"/>
      <c r="AB211" s="1"/>
      <c r="AC211" s="4"/>
      <c r="AD211" s="5"/>
    </row>
    <row r="212" spans="1:30" ht="29.4" thickBot="1">
      <c r="A212" s="1" t="s">
        <v>357</v>
      </c>
      <c r="B212" s="4">
        <v>45704</v>
      </c>
      <c r="C212" s="1" t="s">
        <v>15</v>
      </c>
      <c r="D212" s="1" t="s">
        <v>16</v>
      </c>
      <c r="E212" s="1" t="s">
        <v>117</v>
      </c>
      <c r="F212" s="1" t="s">
        <v>118</v>
      </c>
      <c r="G212" s="1" t="s">
        <v>19</v>
      </c>
      <c r="H212" s="5">
        <v>2</v>
      </c>
      <c r="I212" s="5">
        <v>89.99</v>
      </c>
      <c r="J212" s="1" t="s">
        <v>34</v>
      </c>
      <c r="K212" s="1" t="s">
        <v>21</v>
      </c>
      <c r="L212" s="1" t="s">
        <v>22</v>
      </c>
      <c r="M212" s="4">
        <v>45257</v>
      </c>
      <c r="N212" s="5">
        <v>179.98</v>
      </c>
      <c r="Q212" s="1"/>
      <c r="R212" s="4"/>
      <c r="S212" s="1"/>
      <c r="T212" s="1"/>
      <c r="U212" s="1"/>
      <c r="V212" s="1"/>
      <c r="W212" s="1"/>
      <c r="X212" s="5"/>
      <c r="Y212" s="5"/>
      <c r="Z212" s="1"/>
      <c r="AA212" s="1"/>
      <c r="AB212" s="1"/>
      <c r="AC212" s="4"/>
      <c r="AD212" s="5"/>
    </row>
    <row r="213" spans="1:30" ht="29.4" thickBot="1">
      <c r="A213" s="1" t="s">
        <v>358</v>
      </c>
      <c r="B213" s="4">
        <v>45705</v>
      </c>
      <c r="C213" s="1" t="s">
        <v>259</v>
      </c>
      <c r="D213" s="1" t="s">
        <v>260</v>
      </c>
      <c r="E213" s="1" t="s">
        <v>44</v>
      </c>
      <c r="F213" s="1" t="s">
        <v>45</v>
      </c>
      <c r="G213" s="1" t="s">
        <v>46</v>
      </c>
      <c r="H213" s="5">
        <v>2</v>
      </c>
      <c r="I213" s="5">
        <v>149.99</v>
      </c>
      <c r="J213" s="1" t="s">
        <v>20</v>
      </c>
      <c r="K213" s="1" t="s">
        <v>35</v>
      </c>
      <c r="L213" s="1" t="s">
        <v>27</v>
      </c>
      <c r="M213" s="4">
        <v>44728</v>
      </c>
      <c r="N213" s="5">
        <v>299.98</v>
      </c>
      <c r="Q213" s="1"/>
      <c r="R213" s="4"/>
      <c r="S213" s="1"/>
      <c r="T213" s="1"/>
      <c r="U213" s="1"/>
      <c r="V213" s="1"/>
      <c r="W213" s="1"/>
      <c r="X213" s="5"/>
      <c r="Y213" s="5"/>
      <c r="Z213" s="1"/>
      <c r="AA213" s="1"/>
      <c r="AB213" s="1"/>
      <c r="AC213" s="4"/>
      <c r="AD213" s="5"/>
    </row>
    <row r="214" spans="1:30" ht="29.4" thickBot="1">
      <c r="A214" s="1" t="s">
        <v>359</v>
      </c>
      <c r="B214" s="4">
        <v>45707</v>
      </c>
      <c r="C214" s="1" t="s">
        <v>123</v>
      </c>
      <c r="D214" s="1" t="s">
        <v>124</v>
      </c>
      <c r="E214" s="1" t="s">
        <v>80</v>
      </c>
      <c r="F214" s="1" t="s">
        <v>81</v>
      </c>
      <c r="G214" s="1" t="s">
        <v>19</v>
      </c>
      <c r="H214" s="5">
        <v>5</v>
      </c>
      <c r="I214" s="5">
        <v>699.99</v>
      </c>
      <c r="J214" s="1" t="s">
        <v>34</v>
      </c>
      <c r="K214" s="1" t="s">
        <v>35</v>
      </c>
      <c r="L214" s="1" t="s">
        <v>27</v>
      </c>
      <c r="M214" s="4">
        <v>45352</v>
      </c>
      <c r="N214" s="5">
        <v>3499.95</v>
      </c>
      <c r="Q214" s="1"/>
      <c r="R214" s="4"/>
      <c r="S214" s="1"/>
      <c r="T214" s="1"/>
      <c r="U214" s="1"/>
      <c r="V214" s="1"/>
      <c r="W214" s="1"/>
      <c r="X214" s="5"/>
      <c r="Y214" s="5"/>
      <c r="Z214" s="1"/>
      <c r="AA214" s="1"/>
      <c r="AB214" s="1"/>
      <c r="AC214" s="4"/>
      <c r="AD214" s="5"/>
    </row>
    <row r="215" spans="1:30" ht="29.4" thickBot="1">
      <c r="A215" s="1" t="s">
        <v>360</v>
      </c>
      <c r="B215" s="4">
        <v>45707</v>
      </c>
      <c r="C215" s="1" t="s">
        <v>42</v>
      </c>
      <c r="D215" s="1" t="s">
        <v>43</v>
      </c>
      <c r="E215" s="1" t="s">
        <v>44</v>
      </c>
      <c r="F215" s="1" t="s">
        <v>45</v>
      </c>
      <c r="G215" s="1" t="s">
        <v>46</v>
      </c>
      <c r="H215" s="5">
        <v>3</v>
      </c>
      <c r="I215" s="5">
        <v>149.99</v>
      </c>
      <c r="J215" s="1" t="s">
        <v>34</v>
      </c>
      <c r="K215" s="1" t="s">
        <v>21</v>
      </c>
      <c r="L215" s="1" t="s">
        <v>36</v>
      </c>
      <c r="M215" s="4">
        <v>44633</v>
      </c>
      <c r="N215" s="5">
        <v>449.97</v>
      </c>
      <c r="Q215" s="1"/>
      <c r="R215" s="4"/>
      <c r="S215" s="1"/>
      <c r="T215" s="1"/>
      <c r="U215" s="1"/>
      <c r="V215" s="1"/>
      <c r="W215" s="1"/>
      <c r="X215" s="5"/>
      <c r="Y215" s="5"/>
      <c r="Z215" s="1"/>
      <c r="AA215" s="1"/>
      <c r="AB215" s="1"/>
      <c r="AC215" s="4"/>
      <c r="AD215" s="5"/>
    </row>
    <row r="216" spans="1:30" ht="29.4" thickBot="1">
      <c r="A216" s="1" t="s">
        <v>361</v>
      </c>
      <c r="B216" s="4">
        <v>45708</v>
      </c>
      <c r="C216" s="1" t="s">
        <v>96</v>
      </c>
      <c r="D216" s="1" t="s">
        <v>97</v>
      </c>
      <c r="E216" s="1" t="s">
        <v>61</v>
      </c>
      <c r="F216" s="1" t="s">
        <v>62</v>
      </c>
      <c r="G216" s="1" t="s">
        <v>19</v>
      </c>
      <c r="H216" s="5">
        <v>3</v>
      </c>
      <c r="I216" s="5">
        <v>899.99</v>
      </c>
      <c r="J216" s="1" t="s">
        <v>20</v>
      </c>
      <c r="K216" s="1" t="s">
        <v>63</v>
      </c>
      <c r="L216" s="1" t="s">
        <v>36</v>
      </c>
      <c r="M216" s="4">
        <v>44613</v>
      </c>
      <c r="N216" s="5">
        <v>2699.97</v>
      </c>
      <c r="Q216" s="1"/>
      <c r="R216" s="4"/>
      <c r="S216" s="1"/>
      <c r="T216" s="1"/>
      <c r="U216" s="1"/>
      <c r="V216" s="1"/>
      <c r="W216" s="1"/>
      <c r="X216" s="5"/>
      <c r="Y216" s="5"/>
      <c r="Z216" s="1"/>
      <c r="AA216" s="1"/>
      <c r="AB216" s="1"/>
      <c r="AC216" s="4"/>
      <c r="AD216" s="5"/>
    </row>
    <row r="217" spans="1:30" ht="29.4" thickBot="1">
      <c r="A217" s="1" t="s">
        <v>362</v>
      </c>
      <c r="B217" s="4">
        <v>45708</v>
      </c>
      <c r="C217" s="1" t="s">
        <v>192</v>
      </c>
      <c r="D217" s="1" t="s">
        <v>193</v>
      </c>
      <c r="E217" s="1" t="s">
        <v>126</v>
      </c>
      <c r="F217" s="1" t="s">
        <v>127</v>
      </c>
      <c r="G217" s="1" t="s">
        <v>46</v>
      </c>
      <c r="H217" s="5">
        <v>3</v>
      </c>
      <c r="I217" s="5">
        <v>199.99</v>
      </c>
      <c r="J217" s="1" t="s">
        <v>20</v>
      </c>
      <c r="K217" s="1" t="s">
        <v>50</v>
      </c>
      <c r="L217" s="1" t="s">
        <v>27</v>
      </c>
      <c r="M217" s="4">
        <v>44823</v>
      </c>
      <c r="N217" s="5">
        <v>599.97</v>
      </c>
      <c r="Q217" s="1"/>
      <c r="R217" s="4"/>
      <c r="S217" s="1"/>
      <c r="T217" s="1"/>
      <c r="U217" s="1"/>
      <c r="V217" s="1"/>
      <c r="W217" s="1"/>
      <c r="X217" s="5"/>
      <c r="Y217" s="5"/>
      <c r="Z217" s="1"/>
      <c r="AA217" s="1"/>
      <c r="AB217" s="1"/>
      <c r="AC217" s="4"/>
      <c r="AD217" s="5"/>
    </row>
    <row r="218" spans="1:30" ht="29.4" thickBot="1">
      <c r="A218" s="1" t="s">
        <v>363</v>
      </c>
      <c r="B218" s="4">
        <v>45710</v>
      </c>
      <c r="C218" s="1" t="s">
        <v>55</v>
      </c>
      <c r="D218" s="1" t="s">
        <v>56</v>
      </c>
      <c r="E218" s="1" t="s">
        <v>105</v>
      </c>
      <c r="F218" s="1" t="s">
        <v>106</v>
      </c>
      <c r="G218" s="1" t="s">
        <v>46</v>
      </c>
      <c r="H218" s="5">
        <v>5</v>
      </c>
      <c r="I218" s="5">
        <v>299.99</v>
      </c>
      <c r="J218" s="1" t="s">
        <v>20</v>
      </c>
      <c r="K218" s="1" t="s">
        <v>50</v>
      </c>
      <c r="L218" s="1" t="s">
        <v>36</v>
      </c>
      <c r="M218" s="4">
        <v>45142</v>
      </c>
      <c r="N218" s="5">
        <v>1499.95</v>
      </c>
      <c r="Q218" s="1"/>
      <c r="R218" s="4"/>
      <c r="S218" s="1"/>
      <c r="T218" s="1"/>
      <c r="U218" s="1"/>
      <c r="V218" s="1"/>
      <c r="W218" s="1"/>
      <c r="X218" s="5"/>
      <c r="Y218" s="5"/>
      <c r="Z218" s="1"/>
      <c r="AA218" s="1"/>
      <c r="AB218" s="1"/>
      <c r="AC218" s="4"/>
      <c r="AD218" s="5"/>
    </row>
    <row r="219" spans="1:30" ht="29.4" thickBot="1">
      <c r="A219" s="1" t="s">
        <v>364</v>
      </c>
      <c r="B219" s="4">
        <v>45710</v>
      </c>
      <c r="C219" s="1" t="s">
        <v>150</v>
      </c>
      <c r="D219" s="1" t="s">
        <v>151</v>
      </c>
      <c r="E219" s="1" t="s">
        <v>80</v>
      </c>
      <c r="F219" s="1" t="s">
        <v>81</v>
      </c>
      <c r="G219" s="1" t="s">
        <v>19</v>
      </c>
      <c r="H219" s="5">
        <v>1</v>
      </c>
      <c r="I219" s="5">
        <v>699.99</v>
      </c>
      <c r="J219" s="1" t="s">
        <v>34</v>
      </c>
      <c r="K219" s="1" t="s">
        <v>50</v>
      </c>
      <c r="L219" s="1" t="s">
        <v>22</v>
      </c>
      <c r="M219" s="4">
        <v>44934</v>
      </c>
      <c r="N219" s="5">
        <v>699.99</v>
      </c>
      <c r="Q219" s="1"/>
      <c r="R219" s="4"/>
      <c r="S219" s="1"/>
      <c r="T219" s="1"/>
      <c r="U219" s="1"/>
      <c r="V219" s="1"/>
      <c r="W219" s="1"/>
      <c r="X219" s="5"/>
      <c r="Y219" s="5"/>
      <c r="Z219" s="1"/>
      <c r="AA219" s="1"/>
      <c r="AB219" s="1"/>
      <c r="AC219" s="4"/>
      <c r="AD219" s="5"/>
    </row>
    <row r="220" spans="1:30" ht="29.4" thickBot="1">
      <c r="A220" s="1" t="s">
        <v>365</v>
      </c>
      <c r="B220" s="4">
        <v>45711</v>
      </c>
      <c r="C220" s="1" t="s">
        <v>246</v>
      </c>
      <c r="D220" s="1" t="s">
        <v>247</v>
      </c>
      <c r="E220" s="1" t="s">
        <v>80</v>
      </c>
      <c r="F220" s="1" t="s">
        <v>81</v>
      </c>
      <c r="G220" s="1" t="s">
        <v>19</v>
      </c>
      <c r="H220" s="5">
        <v>1</v>
      </c>
      <c r="I220" s="5">
        <v>699.99</v>
      </c>
      <c r="J220" s="1" t="s">
        <v>20</v>
      </c>
      <c r="K220" s="1" t="s">
        <v>40</v>
      </c>
      <c r="L220" s="1" t="s">
        <v>27</v>
      </c>
      <c r="M220" s="4">
        <v>44583</v>
      </c>
      <c r="N220" s="5">
        <v>699.99</v>
      </c>
      <c r="Q220" s="1"/>
      <c r="R220" s="4"/>
      <c r="S220" s="1"/>
      <c r="T220" s="1"/>
      <c r="U220" s="1"/>
      <c r="V220" s="1"/>
      <c r="W220" s="1"/>
      <c r="X220" s="5"/>
      <c r="Y220" s="5"/>
      <c r="Z220" s="1"/>
      <c r="AA220" s="1"/>
      <c r="AB220" s="1"/>
      <c r="AC220" s="4"/>
      <c r="AD220" s="5"/>
    </row>
    <row r="221" spans="1:30" ht="29.4" thickBot="1">
      <c r="A221" s="1" t="s">
        <v>366</v>
      </c>
      <c r="B221" s="4">
        <v>45711</v>
      </c>
      <c r="C221" s="1" t="s">
        <v>325</v>
      </c>
      <c r="D221" s="1" t="s">
        <v>326</v>
      </c>
      <c r="E221" s="1" t="s">
        <v>44</v>
      </c>
      <c r="F221" s="1" t="s">
        <v>45</v>
      </c>
      <c r="G221" s="1" t="s">
        <v>46</v>
      </c>
      <c r="H221" s="5">
        <v>4</v>
      </c>
      <c r="I221" s="5">
        <v>149.99</v>
      </c>
      <c r="J221" s="1" t="s">
        <v>34</v>
      </c>
      <c r="K221" s="1" t="s">
        <v>40</v>
      </c>
      <c r="L221" s="1" t="s">
        <v>27</v>
      </c>
      <c r="M221" s="4">
        <v>44412</v>
      </c>
      <c r="N221" s="5">
        <v>599.96</v>
      </c>
      <c r="Q221" s="1"/>
      <c r="R221" s="4"/>
      <c r="S221" s="1"/>
      <c r="T221" s="1"/>
      <c r="U221" s="1"/>
      <c r="V221" s="1"/>
      <c r="W221" s="1"/>
      <c r="X221" s="5"/>
      <c r="Y221" s="5"/>
      <c r="Z221" s="1"/>
      <c r="AA221" s="1"/>
      <c r="AB221" s="1"/>
      <c r="AC221" s="4"/>
      <c r="AD221" s="5"/>
    </row>
    <row r="222" spans="1:30" ht="29.4" thickBot="1">
      <c r="A222" s="1" t="s">
        <v>367</v>
      </c>
      <c r="B222" s="4">
        <v>45711</v>
      </c>
      <c r="C222" s="1" t="s">
        <v>211</v>
      </c>
      <c r="D222" s="1" t="s">
        <v>212</v>
      </c>
      <c r="E222" s="1" t="s">
        <v>117</v>
      </c>
      <c r="F222" s="1" t="s">
        <v>118</v>
      </c>
      <c r="G222" s="1" t="s">
        <v>19</v>
      </c>
      <c r="H222" s="5">
        <v>5</v>
      </c>
      <c r="I222" s="5">
        <v>89.99</v>
      </c>
      <c r="J222" s="1" t="s">
        <v>34</v>
      </c>
      <c r="K222" s="1" t="s">
        <v>50</v>
      </c>
      <c r="L222" s="1" t="s">
        <v>27</v>
      </c>
      <c r="M222" s="4">
        <v>45140</v>
      </c>
      <c r="N222" s="5">
        <v>449.95</v>
      </c>
      <c r="Q222" s="1"/>
      <c r="R222" s="4"/>
      <c r="S222" s="1"/>
      <c r="T222" s="1"/>
      <c r="U222" s="1"/>
      <c r="V222" s="1"/>
      <c r="W222" s="1"/>
      <c r="X222" s="5"/>
      <c r="Y222" s="5"/>
      <c r="Z222" s="1"/>
      <c r="AA222" s="1"/>
      <c r="AB222" s="1"/>
      <c r="AC222" s="4"/>
      <c r="AD222" s="5"/>
    </row>
    <row r="223" spans="1:30" ht="29.4" thickBot="1">
      <c r="A223" s="1" t="s">
        <v>368</v>
      </c>
      <c r="B223" s="4">
        <v>45712</v>
      </c>
      <c r="C223" s="1" t="s">
        <v>138</v>
      </c>
      <c r="D223" s="1" t="s">
        <v>139</v>
      </c>
      <c r="E223" s="1" t="s">
        <v>126</v>
      </c>
      <c r="F223" s="1" t="s">
        <v>127</v>
      </c>
      <c r="G223" s="1" t="s">
        <v>46</v>
      </c>
      <c r="H223" s="5">
        <v>2</v>
      </c>
      <c r="I223" s="5">
        <v>199.99</v>
      </c>
      <c r="J223" s="1" t="s">
        <v>20</v>
      </c>
      <c r="K223" s="1" t="s">
        <v>21</v>
      </c>
      <c r="L223" s="1" t="s">
        <v>27</v>
      </c>
      <c r="M223" s="4">
        <v>44573</v>
      </c>
      <c r="N223" s="5">
        <v>399.98</v>
      </c>
      <c r="Q223" s="1"/>
      <c r="R223" s="4"/>
      <c r="S223" s="1"/>
      <c r="T223" s="1"/>
      <c r="U223" s="1"/>
      <c r="V223" s="1"/>
      <c r="W223" s="1"/>
      <c r="X223" s="5"/>
      <c r="Y223" s="5"/>
      <c r="Z223" s="1"/>
      <c r="AA223" s="1"/>
      <c r="AB223" s="1"/>
      <c r="AC223" s="4"/>
      <c r="AD223" s="5"/>
    </row>
    <row r="224" spans="1:30" ht="29.4" thickBot="1">
      <c r="A224" s="1" t="s">
        <v>369</v>
      </c>
      <c r="B224" s="4">
        <v>45715</v>
      </c>
      <c r="C224" s="1" t="s">
        <v>259</v>
      </c>
      <c r="D224" s="1" t="s">
        <v>260</v>
      </c>
      <c r="E224" s="1" t="s">
        <v>31</v>
      </c>
      <c r="F224" s="1" t="s">
        <v>32</v>
      </c>
      <c r="G224" s="1" t="s">
        <v>33</v>
      </c>
      <c r="H224" s="5">
        <v>4</v>
      </c>
      <c r="I224" s="5">
        <v>59.99</v>
      </c>
      <c r="J224" s="1" t="s">
        <v>20</v>
      </c>
      <c r="K224" s="1" t="s">
        <v>50</v>
      </c>
      <c r="L224" s="1" t="s">
        <v>36</v>
      </c>
      <c r="M224" s="4">
        <v>45070</v>
      </c>
      <c r="N224" s="5">
        <v>239.96</v>
      </c>
      <c r="Q224" s="1"/>
      <c r="R224" s="4"/>
      <c r="S224" s="1"/>
      <c r="T224" s="1"/>
      <c r="U224" s="1"/>
      <c r="V224" s="1"/>
      <c r="W224" s="1"/>
      <c r="X224" s="5"/>
      <c r="Y224" s="5"/>
      <c r="Z224" s="1"/>
      <c r="AA224" s="1"/>
      <c r="AB224" s="1"/>
      <c r="AC224" s="4"/>
      <c r="AD224" s="5"/>
    </row>
    <row r="225" spans="1:30" ht="29.4" thickBot="1">
      <c r="A225" s="1" t="s">
        <v>370</v>
      </c>
      <c r="B225" s="4">
        <v>45715</v>
      </c>
      <c r="C225" s="1" t="s">
        <v>93</v>
      </c>
      <c r="D225" s="1" t="s">
        <v>94</v>
      </c>
      <c r="E225" s="1" t="s">
        <v>105</v>
      </c>
      <c r="F225" s="1" t="s">
        <v>106</v>
      </c>
      <c r="G225" s="1" t="s">
        <v>46</v>
      </c>
      <c r="H225" s="5">
        <v>2</v>
      </c>
      <c r="I225" s="5">
        <v>299.99</v>
      </c>
      <c r="J225" s="1" t="s">
        <v>34</v>
      </c>
      <c r="K225" s="1" t="s">
        <v>35</v>
      </c>
      <c r="L225" s="1" t="s">
        <v>22</v>
      </c>
      <c r="M225" s="4">
        <v>44576</v>
      </c>
      <c r="N225" s="5">
        <v>599.98</v>
      </c>
      <c r="Q225" s="1"/>
      <c r="R225" s="4"/>
      <c r="S225" s="1"/>
      <c r="T225" s="1"/>
      <c r="U225" s="1"/>
      <c r="V225" s="1"/>
      <c r="W225" s="1"/>
      <c r="X225" s="5"/>
      <c r="Y225" s="5"/>
      <c r="Z225" s="1"/>
      <c r="AA225" s="1"/>
      <c r="AB225" s="1"/>
      <c r="AC225" s="4"/>
      <c r="AD225" s="5"/>
    </row>
    <row r="226" spans="1:30" ht="29.4" thickBot="1">
      <c r="A226" s="1" t="s">
        <v>371</v>
      </c>
      <c r="B226" s="4">
        <v>45718</v>
      </c>
      <c r="C226" s="1" t="s">
        <v>55</v>
      </c>
      <c r="D226" s="1" t="s">
        <v>56</v>
      </c>
      <c r="E226" s="1" t="s">
        <v>44</v>
      </c>
      <c r="F226" s="1" t="s">
        <v>45</v>
      </c>
      <c r="G226" s="1" t="s">
        <v>46</v>
      </c>
      <c r="H226" s="5">
        <v>2</v>
      </c>
      <c r="I226" s="5">
        <v>149.99</v>
      </c>
      <c r="J226" s="1" t="s">
        <v>20</v>
      </c>
      <c r="K226" s="1" t="s">
        <v>21</v>
      </c>
      <c r="L226" s="1" t="s">
        <v>22</v>
      </c>
      <c r="M226" s="4">
        <v>45068</v>
      </c>
      <c r="N226" s="5">
        <v>299.98</v>
      </c>
      <c r="Q226" s="1"/>
      <c r="R226" s="4"/>
      <c r="S226" s="1"/>
      <c r="T226" s="1"/>
      <c r="U226" s="1"/>
      <c r="V226" s="1"/>
      <c r="W226" s="1"/>
      <c r="X226" s="5"/>
      <c r="Y226" s="5"/>
      <c r="Z226" s="1"/>
      <c r="AA226" s="1"/>
      <c r="AB226" s="1"/>
      <c r="AC226" s="4"/>
      <c r="AD226" s="5"/>
    </row>
    <row r="227" spans="1:30" ht="29.4" thickBot="1">
      <c r="A227" s="1" t="s">
        <v>372</v>
      </c>
      <c r="B227" s="4">
        <v>45720</v>
      </c>
      <c r="C227" s="1" t="s">
        <v>226</v>
      </c>
      <c r="D227" s="1" t="s">
        <v>227</v>
      </c>
      <c r="E227" s="1" t="s">
        <v>80</v>
      </c>
      <c r="F227" s="1" t="s">
        <v>81</v>
      </c>
      <c r="G227" s="1" t="s">
        <v>19</v>
      </c>
      <c r="H227" s="5">
        <v>5</v>
      </c>
      <c r="I227" s="5">
        <v>699.99</v>
      </c>
      <c r="J227" s="1" t="s">
        <v>57</v>
      </c>
      <c r="K227" s="1" t="s">
        <v>63</v>
      </c>
      <c r="L227" s="1" t="s">
        <v>27</v>
      </c>
      <c r="M227" s="4">
        <v>45161</v>
      </c>
      <c r="N227" s="5">
        <v>3499.95</v>
      </c>
      <c r="Q227" s="1"/>
      <c r="R227" s="4"/>
      <c r="S227" s="1"/>
      <c r="T227" s="1"/>
      <c r="U227" s="1"/>
      <c r="V227" s="1"/>
      <c r="W227" s="1"/>
      <c r="X227" s="5"/>
      <c r="Y227" s="5"/>
      <c r="Z227" s="1"/>
      <c r="AA227" s="1"/>
      <c r="AB227" s="1"/>
      <c r="AC227" s="4"/>
      <c r="AD227" s="5"/>
    </row>
    <row r="228" spans="1:30" ht="29.4" thickBot="1">
      <c r="A228" s="1" t="s">
        <v>373</v>
      </c>
      <c r="B228" s="4">
        <v>45721</v>
      </c>
      <c r="C228" s="1" t="s">
        <v>75</v>
      </c>
      <c r="D228" s="1" t="s">
        <v>76</v>
      </c>
      <c r="E228" s="1" t="s">
        <v>31</v>
      </c>
      <c r="F228" s="1" t="s">
        <v>32</v>
      </c>
      <c r="G228" s="1" t="s">
        <v>33</v>
      </c>
      <c r="H228" s="5">
        <v>5</v>
      </c>
      <c r="I228" s="5">
        <v>59.99</v>
      </c>
      <c r="J228" s="1" t="s">
        <v>20</v>
      </c>
      <c r="K228" s="1" t="s">
        <v>50</v>
      </c>
      <c r="L228" s="1" t="s">
        <v>27</v>
      </c>
      <c r="M228" s="4">
        <v>45291</v>
      </c>
      <c r="N228" s="5">
        <v>299.95</v>
      </c>
      <c r="Q228" s="1"/>
      <c r="R228" s="4"/>
      <c r="S228" s="1"/>
      <c r="T228" s="1"/>
      <c r="U228" s="1"/>
      <c r="V228" s="1"/>
      <c r="W228" s="1"/>
      <c r="X228" s="5"/>
      <c r="Y228" s="5"/>
      <c r="Z228" s="1"/>
      <c r="AA228" s="1"/>
      <c r="AB228" s="1"/>
      <c r="AC228" s="4"/>
      <c r="AD228" s="5"/>
    </row>
    <row r="229" spans="1:30" ht="29.4" thickBot="1">
      <c r="A229" s="1" t="s">
        <v>374</v>
      </c>
      <c r="B229" s="4">
        <v>45723</v>
      </c>
      <c r="C229" s="1" t="s">
        <v>15</v>
      </c>
      <c r="D229" s="1" t="s">
        <v>16</v>
      </c>
      <c r="E229" s="1" t="s">
        <v>117</v>
      </c>
      <c r="F229" s="1" t="s">
        <v>118</v>
      </c>
      <c r="G229" s="1" t="s">
        <v>19</v>
      </c>
      <c r="H229" s="5">
        <v>2</v>
      </c>
      <c r="I229" s="5">
        <v>89.99</v>
      </c>
      <c r="J229" s="1" t="s">
        <v>26</v>
      </c>
      <c r="K229" s="1" t="s">
        <v>50</v>
      </c>
      <c r="L229" s="1" t="s">
        <v>27</v>
      </c>
      <c r="M229" s="4">
        <v>45295</v>
      </c>
      <c r="N229" s="5">
        <v>179.98</v>
      </c>
      <c r="Q229" s="1"/>
      <c r="R229" s="4"/>
      <c r="S229" s="1"/>
      <c r="T229" s="1"/>
      <c r="U229" s="1"/>
      <c r="V229" s="1"/>
      <c r="W229" s="1"/>
      <c r="X229" s="5"/>
      <c r="Y229" s="5"/>
      <c r="Z229" s="1"/>
      <c r="AA229" s="1"/>
      <c r="AB229" s="1"/>
      <c r="AC229" s="4"/>
      <c r="AD229" s="5"/>
    </row>
    <row r="230" spans="1:30" ht="29.4" thickBot="1">
      <c r="A230" s="1" t="s">
        <v>375</v>
      </c>
      <c r="B230" s="4">
        <v>45723</v>
      </c>
      <c r="C230" s="1" t="s">
        <v>120</v>
      </c>
      <c r="D230" s="1" t="s">
        <v>121</v>
      </c>
      <c r="E230" s="1" t="s">
        <v>17</v>
      </c>
      <c r="F230" s="1" t="s">
        <v>18</v>
      </c>
      <c r="G230" s="1" t="s">
        <v>19</v>
      </c>
      <c r="H230" s="5">
        <v>5</v>
      </c>
      <c r="I230" s="5">
        <v>249.99</v>
      </c>
      <c r="J230" s="1" t="s">
        <v>20</v>
      </c>
      <c r="K230" s="1" t="s">
        <v>63</v>
      </c>
      <c r="L230" s="1" t="s">
        <v>36</v>
      </c>
      <c r="M230" s="4">
        <v>44540</v>
      </c>
      <c r="N230" s="5">
        <v>1249.95</v>
      </c>
      <c r="Q230" s="1"/>
      <c r="R230" s="4"/>
      <c r="S230" s="1"/>
      <c r="T230" s="1"/>
      <c r="U230" s="1"/>
      <c r="V230" s="1"/>
      <c r="W230" s="1"/>
      <c r="X230" s="5"/>
      <c r="Y230" s="5"/>
      <c r="Z230" s="1"/>
      <c r="AA230" s="1"/>
      <c r="AB230" s="1"/>
      <c r="AC230" s="4"/>
      <c r="AD230" s="5"/>
    </row>
    <row r="231" spans="1:30" ht="29.4" thickBot="1">
      <c r="A231" s="1" t="s">
        <v>376</v>
      </c>
      <c r="B231" s="4">
        <v>45724</v>
      </c>
      <c r="C231" s="1" t="s">
        <v>226</v>
      </c>
      <c r="D231" s="1" t="s">
        <v>227</v>
      </c>
      <c r="E231" s="1" t="s">
        <v>44</v>
      </c>
      <c r="F231" s="1" t="s">
        <v>45</v>
      </c>
      <c r="G231" s="1" t="s">
        <v>46</v>
      </c>
      <c r="H231" s="5">
        <v>2</v>
      </c>
      <c r="I231" s="5">
        <v>149.99</v>
      </c>
      <c r="J231" s="1" t="s">
        <v>34</v>
      </c>
      <c r="K231" s="1" t="s">
        <v>21</v>
      </c>
      <c r="L231" s="1" t="s">
        <v>27</v>
      </c>
      <c r="M231" s="4">
        <v>44632</v>
      </c>
      <c r="N231" s="5">
        <v>299.98</v>
      </c>
      <c r="Q231" s="1"/>
      <c r="R231" s="4"/>
      <c r="S231" s="1"/>
      <c r="T231" s="1"/>
      <c r="U231" s="1"/>
      <c r="V231" s="1"/>
      <c r="W231" s="1"/>
      <c r="X231" s="5"/>
      <c r="Y231" s="5"/>
      <c r="Z231" s="1"/>
      <c r="AA231" s="1"/>
      <c r="AB231" s="1"/>
      <c r="AC231" s="4"/>
      <c r="AD231" s="5"/>
    </row>
    <row r="232" spans="1:30" ht="29.4" thickBot="1">
      <c r="A232" s="1" t="s">
        <v>377</v>
      </c>
      <c r="B232" s="4">
        <v>45724</v>
      </c>
      <c r="C232" s="1" t="s">
        <v>144</v>
      </c>
      <c r="D232" s="1" t="s">
        <v>145</v>
      </c>
      <c r="E232" s="1" t="s">
        <v>61</v>
      </c>
      <c r="F232" s="1" t="s">
        <v>62</v>
      </c>
      <c r="G232" s="1" t="s">
        <v>19</v>
      </c>
      <c r="H232" s="5">
        <v>5</v>
      </c>
      <c r="I232" s="5">
        <v>899.99</v>
      </c>
      <c r="J232" s="1" t="s">
        <v>34</v>
      </c>
      <c r="K232" s="1" t="s">
        <v>63</v>
      </c>
      <c r="L232" s="1" t="s">
        <v>27</v>
      </c>
      <c r="M232" s="4">
        <v>45389</v>
      </c>
      <c r="N232" s="5">
        <v>4499.95</v>
      </c>
      <c r="Q232" s="1"/>
      <c r="R232" s="4"/>
      <c r="S232" s="1"/>
      <c r="T232" s="1"/>
      <c r="U232" s="1"/>
      <c r="V232" s="1"/>
      <c r="W232" s="1"/>
      <c r="X232" s="5"/>
      <c r="Y232" s="5"/>
      <c r="Z232" s="1"/>
      <c r="AA232" s="1"/>
      <c r="AB232" s="1"/>
      <c r="AC232" s="4"/>
      <c r="AD232" s="5"/>
    </row>
    <row r="233" spans="1:30" ht="29.4" thickBot="1">
      <c r="A233" s="1" t="s">
        <v>378</v>
      </c>
      <c r="B233" s="4">
        <v>45724</v>
      </c>
      <c r="C233" s="1" t="s">
        <v>55</v>
      </c>
      <c r="D233" s="1" t="s">
        <v>56</v>
      </c>
      <c r="E233" s="1" t="s">
        <v>44</v>
      </c>
      <c r="F233" s="1" t="s">
        <v>45</v>
      </c>
      <c r="G233" s="1" t="s">
        <v>46</v>
      </c>
      <c r="H233" s="5">
        <v>4</v>
      </c>
      <c r="I233" s="5">
        <v>149.99</v>
      </c>
      <c r="J233" s="1" t="s">
        <v>20</v>
      </c>
      <c r="K233" s="1" t="s">
        <v>21</v>
      </c>
      <c r="L233" s="1" t="s">
        <v>36</v>
      </c>
      <c r="M233" s="4">
        <v>45263</v>
      </c>
      <c r="N233" s="5">
        <v>599.96</v>
      </c>
      <c r="Q233" s="1"/>
      <c r="R233" s="4"/>
      <c r="S233" s="1"/>
      <c r="T233" s="1"/>
      <c r="U233" s="1"/>
      <c r="V233" s="1"/>
      <c r="W233" s="1"/>
      <c r="X233" s="5"/>
      <c r="Y233" s="5"/>
      <c r="Z233" s="1"/>
      <c r="AA233" s="1"/>
      <c r="AB233" s="1"/>
      <c r="AC233" s="4"/>
      <c r="AD233" s="5"/>
    </row>
    <row r="234" spans="1:30" ht="29.4" thickBot="1">
      <c r="A234" s="1" t="s">
        <v>379</v>
      </c>
      <c r="B234" s="4">
        <v>45726</v>
      </c>
      <c r="C234" s="1" t="s">
        <v>144</v>
      </c>
      <c r="D234" s="1" t="s">
        <v>145</v>
      </c>
      <c r="E234" s="1" t="s">
        <v>17</v>
      </c>
      <c r="F234" s="1" t="s">
        <v>18</v>
      </c>
      <c r="G234" s="1" t="s">
        <v>19</v>
      </c>
      <c r="H234" s="5">
        <v>1</v>
      </c>
      <c r="I234" s="5">
        <v>249.99</v>
      </c>
      <c r="J234" s="1" t="s">
        <v>20</v>
      </c>
      <c r="K234" s="1" t="s">
        <v>40</v>
      </c>
      <c r="L234" s="1" t="s">
        <v>36</v>
      </c>
      <c r="M234" s="4">
        <v>45117</v>
      </c>
      <c r="N234" s="5">
        <v>249.99</v>
      </c>
      <c r="Q234" s="1"/>
      <c r="R234" s="4"/>
      <c r="S234" s="1"/>
      <c r="T234" s="1"/>
      <c r="U234" s="1"/>
      <c r="V234" s="1"/>
      <c r="W234" s="1"/>
      <c r="X234" s="5"/>
      <c r="Y234" s="5"/>
      <c r="Z234" s="1"/>
      <c r="AA234" s="1"/>
      <c r="AB234" s="1"/>
      <c r="AC234" s="4"/>
      <c r="AD234" s="5"/>
    </row>
    <row r="235" spans="1:30" ht="29.4" thickBot="1">
      <c r="A235" s="1" t="s">
        <v>380</v>
      </c>
      <c r="B235" s="4">
        <v>45734</v>
      </c>
      <c r="C235" s="1" t="s">
        <v>192</v>
      </c>
      <c r="D235" s="1" t="s">
        <v>193</v>
      </c>
      <c r="E235" s="1" t="s">
        <v>31</v>
      </c>
      <c r="F235" s="1" t="s">
        <v>32</v>
      </c>
      <c r="G235" s="1" t="s">
        <v>33</v>
      </c>
      <c r="H235" s="5">
        <v>2</v>
      </c>
      <c r="I235" s="5">
        <v>59.99</v>
      </c>
      <c r="J235" s="1" t="s">
        <v>26</v>
      </c>
      <c r="K235" s="1" t="s">
        <v>50</v>
      </c>
      <c r="L235" s="1" t="s">
        <v>22</v>
      </c>
      <c r="M235" s="4">
        <v>45193</v>
      </c>
      <c r="N235" s="5">
        <v>119.98</v>
      </c>
      <c r="Q235" s="1"/>
      <c r="R235" s="4"/>
      <c r="S235" s="1"/>
      <c r="T235" s="1"/>
      <c r="U235" s="1"/>
      <c r="V235" s="1"/>
      <c r="W235" s="1"/>
      <c r="X235" s="5"/>
      <c r="Y235" s="5"/>
      <c r="Z235" s="1"/>
      <c r="AA235" s="1"/>
      <c r="AB235" s="1"/>
      <c r="AC235" s="4"/>
      <c r="AD235" s="5"/>
    </row>
    <row r="236" spans="1:30" ht="29.4" thickBot="1">
      <c r="A236" s="1" t="s">
        <v>381</v>
      </c>
      <c r="B236" s="4">
        <v>45737</v>
      </c>
      <c r="C236" s="1" t="s">
        <v>132</v>
      </c>
      <c r="D236" s="1" t="s">
        <v>133</v>
      </c>
      <c r="E236" s="1" t="s">
        <v>44</v>
      </c>
      <c r="F236" s="1" t="s">
        <v>45</v>
      </c>
      <c r="G236" s="1" t="s">
        <v>46</v>
      </c>
      <c r="H236" s="5">
        <v>2</v>
      </c>
      <c r="I236" s="5">
        <v>149.99</v>
      </c>
      <c r="J236" s="1" t="s">
        <v>20</v>
      </c>
      <c r="K236" s="1" t="s">
        <v>50</v>
      </c>
      <c r="L236" s="1" t="s">
        <v>27</v>
      </c>
      <c r="M236" s="4">
        <v>45233</v>
      </c>
      <c r="N236" s="5">
        <v>299.98</v>
      </c>
      <c r="Q236" s="1"/>
      <c r="R236" s="4"/>
      <c r="S236" s="1"/>
      <c r="T236" s="1"/>
      <c r="U236" s="1"/>
      <c r="V236" s="1"/>
      <c r="W236" s="1"/>
      <c r="X236" s="5"/>
      <c r="Y236" s="5"/>
      <c r="Z236" s="1"/>
      <c r="AA236" s="1"/>
      <c r="AB236" s="1"/>
      <c r="AC236" s="4"/>
      <c r="AD236" s="5"/>
    </row>
    <row r="237" spans="1:30" ht="29.4" thickBot="1">
      <c r="A237" s="1" t="s">
        <v>382</v>
      </c>
      <c r="B237" s="4">
        <v>45737</v>
      </c>
      <c r="C237" s="1" t="s">
        <v>150</v>
      </c>
      <c r="D237" s="1" t="s">
        <v>151</v>
      </c>
      <c r="E237" s="1" t="s">
        <v>61</v>
      </c>
      <c r="F237" s="1" t="s">
        <v>62</v>
      </c>
      <c r="G237" s="1" t="s">
        <v>19</v>
      </c>
      <c r="H237" s="5">
        <v>3</v>
      </c>
      <c r="I237" s="5">
        <v>899.99</v>
      </c>
      <c r="J237" s="1" t="s">
        <v>57</v>
      </c>
      <c r="K237" s="1" t="s">
        <v>40</v>
      </c>
      <c r="L237" s="1" t="s">
        <v>27</v>
      </c>
      <c r="M237" s="4">
        <v>44876</v>
      </c>
      <c r="N237" s="5">
        <v>2699.97</v>
      </c>
      <c r="Q237" s="1"/>
      <c r="R237" s="4"/>
      <c r="S237" s="1"/>
      <c r="T237" s="1"/>
      <c r="U237" s="1"/>
      <c r="V237" s="1"/>
      <c r="W237" s="1"/>
      <c r="X237" s="5"/>
      <c r="Y237" s="5"/>
      <c r="Z237" s="1"/>
      <c r="AA237" s="1"/>
      <c r="AB237" s="1"/>
      <c r="AC237" s="4"/>
      <c r="AD237" s="5"/>
    </row>
    <row r="238" spans="1:30" ht="29.4" thickBot="1">
      <c r="A238" s="1" t="s">
        <v>383</v>
      </c>
      <c r="B238" s="4">
        <v>45737</v>
      </c>
      <c r="C238" s="1" t="s">
        <v>48</v>
      </c>
      <c r="D238" s="1" t="s">
        <v>49</v>
      </c>
      <c r="E238" s="1" t="s">
        <v>61</v>
      </c>
      <c r="F238" s="1" t="s">
        <v>62</v>
      </c>
      <c r="G238" s="1" t="s">
        <v>19</v>
      </c>
      <c r="H238" s="5">
        <v>3</v>
      </c>
      <c r="I238" s="5">
        <v>899.99</v>
      </c>
      <c r="J238" s="1" t="s">
        <v>34</v>
      </c>
      <c r="K238" s="1" t="s">
        <v>40</v>
      </c>
      <c r="L238" s="1" t="s">
        <v>22</v>
      </c>
      <c r="M238" s="4">
        <v>44975</v>
      </c>
      <c r="N238" s="5">
        <v>2699.97</v>
      </c>
      <c r="Q238" s="1"/>
      <c r="R238" s="4"/>
      <c r="S238" s="1"/>
      <c r="T238" s="1"/>
      <c r="U238" s="1"/>
      <c r="V238" s="1"/>
      <c r="W238" s="1"/>
      <c r="X238" s="5"/>
      <c r="Y238" s="5"/>
      <c r="Z238" s="1"/>
      <c r="AA238" s="1"/>
      <c r="AB238" s="1"/>
      <c r="AC238" s="4"/>
      <c r="AD238" s="5"/>
    </row>
    <row r="239" spans="1:30" ht="29.4" thickBot="1">
      <c r="A239" s="1" t="s">
        <v>384</v>
      </c>
      <c r="B239" s="4">
        <v>45739</v>
      </c>
      <c r="C239" s="1" t="s">
        <v>15</v>
      </c>
      <c r="D239" s="1" t="s">
        <v>16</v>
      </c>
      <c r="E239" s="1" t="s">
        <v>105</v>
      </c>
      <c r="F239" s="1" t="s">
        <v>106</v>
      </c>
      <c r="G239" s="1" t="s">
        <v>46</v>
      </c>
      <c r="H239" s="5">
        <v>3</v>
      </c>
      <c r="I239" s="5">
        <v>299.99</v>
      </c>
      <c r="J239" s="1" t="s">
        <v>26</v>
      </c>
      <c r="K239" s="1" t="s">
        <v>50</v>
      </c>
      <c r="L239" s="1" t="s">
        <v>27</v>
      </c>
      <c r="M239" s="4">
        <v>45234</v>
      </c>
      <c r="N239" s="5">
        <v>899.97</v>
      </c>
      <c r="Q239" s="1"/>
      <c r="R239" s="4"/>
      <c r="S239" s="1"/>
      <c r="T239" s="1"/>
      <c r="U239" s="1"/>
      <c r="V239" s="1"/>
      <c r="W239" s="1"/>
      <c r="X239" s="5"/>
      <c r="Y239" s="5"/>
      <c r="Z239" s="1"/>
      <c r="AA239" s="1"/>
      <c r="AB239" s="1"/>
      <c r="AC239" s="4"/>
      <c r="AD239" s="5"/>
    </row>
    <row r="240" spans="1:30" ht="29.4" thickBot="1">
      <c r="A240" s="1" t="s">
        <v>385</v>
      </c>
      <c r="B240" s="4">
        <v>45740</v>
      </c>
      <c r="C240" s="1" t="s">
        <v>386</v>
      </c>
      <c r="D240" s="1" t="s">
        <v>387</v>
      </c>
      <c r="E240" s="1" t="s">
        <v>44</v>
      </c>
      <c r="F240" s="1" t="s">
        <v>45</v>
      </c>
      <c r="G240" s="1" t="s">
        <v>46</v>
      </c>
      <c r="H240" s="5">
        <v>4</v>
      </c>
      <c r="I240" s="5">
        <v>149.99</v>
      </c>
      <c r="J240" s="1" t="s">
        <v>34</v>
      </c>
      <c r="K240" s="1" t="s">
        <v>50</v>
      </c>
      <c r="L240" s="1" t="s">
        <v>36</v>
      </c>
      <c r="M240" s="4">
        <v>44560</v>
      </c>
      <c r="N240" s="5">
        <v>599.96</v>
      </c>
      <c r="Q240" s="2"/>
      <c r="R240" s="2"/>
      <c r="S240" s="2"/>
      <c r="T240" s="2"/>
      <c r="U240" s="2"/>
      <c r="V240" s="2"/>
      <c r="W240" s="2"/>
      <c r="X240" s="2"/>
      <c r="Y240" s="2"/>
      <c r="Z240" s="2"/>
      <c r="AA240" s="2"/>
      <c r="AB240" s="2"/>
      <c r="AC240" s="2"/>
      <c r="AD240" s="2"/>
    </row>
    <row r="241" spans="1:32" ht="29.4" thickBot="1">
      <c r="A241" s="1" t="s">
        <v>388</v>
      </c>
      <c r="B241" s="4">
        <v>45743</v>
      </c>
      <c r="C241" s="1" t="s">
        <v>102</v>
      </c>
      <c r="D241" s="1" t="s">
        <v>103</v>
      </c>
      <c r="E241" s="1" t="s">
        <v>114</v>
      </c>
      <c r="F241" s="1" t="s">
        <v>115</v>
      </c>
      <c r="G241" s="1" t="s">
        <v>33</v>
      </c>
      <c r="H241" s="5">
        <v>4</v>
      </c>
      <c r="I241" s="5">
        <v>79.989999999999995</v>
      </c>
      <c r="J241" s="1" t="s">
        <v>26</v>
      </c>
      <c r="K241" s="1" t="s">
        <v>21</v>
      </c>
      <c r="L241" s="1" t="s">
        <v>22</v>
      </c>
      <c r="M241" s="4">
        <v>45288</v>
      </c>
      <c r="N241" s="5">
        <v>319.95999999999998</v>
      </c>
      <c r="Q241" s="1"/>
      <c r="R241" s="4"/>
      <c r="S241" s="1"/>
      <c r="T241" s="1"/>
      <c r="U241" s="1"/>
      <c r="V241" s="1"/>
      <c r="W241" s="1"/>
      <c r="X241" s="5"/>
      <c r="Y241" s="5"/>
      <c r="Z241" s="1"/>
      <c r="AA241" s="1"/>
      <c r="AB241" s="1"/>
      <c r="AC241" s="4"/>
      <c r="AD241" s="5"/>
      <c r="AE241" s="2"/>
      <c r="AF241" s="2"/>
    </row>
    <row r="242" spans="1:32" ht="29.4" thickBot="1">
      <c r="A242" s="1" t="s">
        <v>389</v>
      </c>
      <c r="B242" s="4">
        <v>45745</v>
      </c>
      <c r="C242" s="1" t="s">
        <v>185</v>
      </c>
      <c r="D242" s="1" t="s">
        <v>186</v>
      </c>
      <c r="E242" s="1" t="s">
        <v>117</v>
      </c>
      <c r="F242" s="1" t="s">
        <v>118</v>
      </c>
      <c r="G242" s="1" t="s">
        <v>19</v>
      </c>
      <c r="H242" s="5">
        <v>5</v>
      </c>
      <c r="I242" s="5">
        <v>89.99</v>
      </c>
      <c r="J242" s="1" t="s">
        <v>34</v>
      </c>
      <c r="K242" s="1" t="s">
        <v>35</v>
      </c>
      <c r="L242" s="1" t="s">
        <v>22</v>
      </c>
      <c r="M242" s="4">
        <v>44704</v>
      </c>
      <c r="N242" s="5">
        <v>449.95</v>
      </c>
      <c r="Q242" s="1"/>
      <c r="R242" s="4"/>
      <c r="S242" s="1"/>
      <c r="T242" s="1"/>
      <c r="U242" s="1"/>
      <c r="V242" s="1"/>
      <c r="W242" s="1"/>
      <c r="X242" s="5"/>
      <c r="Y242" s="5"/>
      <c r="Z242" s="1"/>
      <c r="AA242" s="1"/>
      <c r="AB242" s="1"/>
      <c r="AC242" s="4"/>
      <c r="AD242" s="5"/>
      <c r="AE242" s="4"/>
      <c r="AF242" s="5"/>
    </row>
    <row r="243" spans="1:32" ht="29.4" thickBot="1">
      <c r="A243" s="1" t="s">
        <v>390</v>
      </c>
      <c r="B243" s="4">
        <v>45746</v>
      </c>
      <c r="C243" s="1" t="s">
        <v>93</v>
      </c>
      <c r="D243" s="1" t="s">
        <v>94</v>
      </c>
      <c r="E243" s="1" t="s">
        <v>44</v>
      </c>
      <c r="F243" s="1" t="s">
        <v>45</v>
      </c>
      <c r="G243" s="1" t="s">
        <v>46</v>
      </c>
      <c r="H243" s="5">
        <v>3</v>
      </c>
      <c r="I243" s="5">
        <v>149.99</v>
      </c>
      <c r="J243" s="1" t="s">
        <v>34</v>
      </c>
      <c r="K243" s="1" t="s">
        <v>21</v>
      </c>
      <c r="L243" s="1" t="s">
        <v>36</v>
      </c>
      <c r="M243" s="4">
        <v>45171</v>
      </c>
      <c r="N243" s="5">
        <v>449.97</v>
      </c>
      <c r="Q243" s="1"/>
      <c r="R243" s="4"/>
      <c r="S243" s="1"/>
      <c r="T243" s="1"/>
      <c r="U243" s="1"/>
      <c r="V243" s="1"/>
      <c r="W243" s="1"/>
      <c r="X243" s="5"/>
      <c r="Y243" s="5"/>
      <c r="Z243" s="1"/>
      <c r="AA243" s="1"/>
      <c r="AB243" s="1"/>
      <c r="AC243" s="4"/>
      <c r="AD243" s="5"/>
      <c r="AE243" s="4"/>
      <c r="AF243" s="5"/>
    </row>
    <row r="244" spans="1:32" ht="29.4" thickBot="1">
      <c r="A244" s="1" t="s">
        <v>391</v>
      </c>
      <c r="B244" s="4">
        <v>45746</v>
      </c>
      <c r="C244" s="1" t="s">
        <v>65</v>
      </c>
      <c r="D244" s="1" t="s">
        <v>66</v>
      </c>
      <c r="E244" s="1" t="s">
        <v>117</v>
      </c>
      <c r="F244" s="1" t="s">
        <v>118</v>
      </c>
      <c r="G244" s="1" t="s">
        <v>19</v>
      </c>
      <c r="H244" s="5">
        <v>2</v>
      </c>
      <c r="I244" s="5">
        <v>89.99</v>
      </c>
      <c r="J244" s="1" t="s">
        <v>57</v>
      </c>
      <c r="K244" s="1" t="s">
        <v>50</v>
      </c>
      <c r="L244" s="1" t="s">
        <v>27</v>
      </c>
      <c r="M244" s="4">
        <v>44522</v>
      </c>
      <c r="N244" s="5">
        <v>179.98</v>
      </c>
      <c r="Q244" s="1"/>
      <c r="R244" s="4"/>
      <c r="S244" s="1"/>
      <c r="T244" s="1"/>
      <c r="U244" s="1"/>
      <c r="V244" s="1"/>
      <c r="W244" s="1"/>
      <c r="X244" s="5"/>
      <c r="Y244" s="5"/>
      <c r="Z244" s="1"/>
      <c r="AA244" s="1"/>
      <c r="AB244" s="1"/>
      <c r="AC244" s="4"/>
      <c r="AD244" s="5"/>
      <c r="AE244" s="4"/>
      <c r="AF244" s="5"/>
    </row>
    <row r="245" spans="1:32" ht="29.4" thickBot="1">
      <c r="A245" s="1" t="s">
        <v>392</v>
      </c>
      <c r="B245" s="4">
        <v>45748</v>
      </c>
      <c r="C245" s="1" t="s">
        <v>102</v>
      </c>
      <c r="D245" s="1" t="s">
        <v>103</v>
      </c>
      <c r="E245" s="1" t="s">
        <v>80</v>
      </c>
      <c r="F245" s="1" t="s">
        <v>81</v>
      </c>
      <c r="G245" s="1" t="s">
        <v>19</v>
      </c>
      <c r="H245" s="5">
        <v>2</v>
      </c>
      <c r="I245" s="5">
        <v>699.99</v>
      </c>
      <c r="J245" s="1" t="s">
        <v>34</v>
      </c>
      <c r="K245" s="1" t="s">
        <v>40</v>
      </c>
      <c r="L245" s="1" t="s">
        <v>36</v>
      </c>
      <c r="M245" s="4">
        <v>44618</v>
      </c>
      <c r="N245" s="5">
        <v>1399.98</v>
      </c>
      <c r="Q245" s="1"/>
      <c r="R245" s="4"/>
      <c r="S245" s="1"/>
      <c r="T245" s="1"/>
      <c r="U245" s="1"/>
      <c r="V245" s="1"/>
      <c r="W245" s="1"/>
      <c r="X245" s="5"/>
      <c r="Y245" s="5"/>
      <c r="Z245" s="1"/>
      <c r="AA245" s="1"/>
      <c r="AB245" s="1"/>
      <c r="AC245" s="4"/>
      <c r="AD245" s="5"/>
      <c r="AE245" s="4"/>
      <c r="AF245" s="5"/>
    </row>
    <row r="246" spans="1:32" ht="29.4" thickBot="1">
      <c r="A246" s="1" t="s">
        <v>393</v>
      </c>
      <c r="B246" s="4">
        <v>45749</v>
      </c>
      <c r="C246" s="1" t="s">
        <v>123</v>
      </c>
      <c r="D246" s="1" t="s">
        <v>124</v>
      </c>
      <c r="E246" s="1" t="s">
        <v>61</v>
      </c>
      <c r="F246" s="1" t="s">
        <v>62</v>
      </c>
      <c r="G246" s="1" t="s">
        <v>19</v>
      </c>
      <c r="H246" s="5">
        <v>3</v>
      </c>
      <c r="I246" s="5">
        <v>899.99</v>
      </c>
      <c r="J246" s="1" t="s">
        <v>20</v>
      </c>
      <c r="K246" s="1" t="s">
        <v>21</v>
      </c>
      <c r="L246" s="1" t="s">
        <v>36</v>
      </c>
      <c r="M246" s="4">
        <v>44953</v>
      </c>
      <c r="N246" s="5">
        <v>2699.97</v>
      </c>
      <c r="Q246" s="1"/>
      <c r="R246" s="4"/>
      <c r="S246" s="1"/>
      <c r="T246" s="1"/>
      <c r="U246" s="1"/>
      <c r="V246" s="1"/>
      <c r="W246" s="1"/>
      <c r="X246" s="5"/>
      <c r="Y246" s="5"/>
      <c r="Z246" s="1"/>
      <c r="AA246" s="1"/>
      <c r="AB246" s="1"/>
      <c r="AC246" s="4"/>
      <c r="AD246" s="5"/>
      <c r="AE246" s="4"/>
      <c r="AF246" s="5"/>
    </row>
    <row r="247" spans="1:32" ht="29.4" thickBot="1">
      <c r="A247" s="1" t="s">
        <v>394</v>
      </c>
      <c r="B247" s="4">
        <v>45755</v>
      </c>
      <c r="C247" s="1" t="s">
        <v>93</v>
      </c>
      <c r="D247" s="1" t="s">
        <v>94</v>
      </c>
      <c r="E247" s="1" t="s">
        <v>114</v>
      </c>
      <c r="F247" s="1" t="s">
        <v>115</v>
      </c>
      <c r="G247" s="1" t="s">
        <v>33</v>
      </c>
      <c r="H247" s="5">
        <v>3</v>
      </c>
      <c r="I247" s="5">
        <v>79.989999999999995</v>
      </c>
      <c r="J247" s="1" t="s">
        <v>26</v>
      </c>
      <c r="K247" s="1" t="s">
        <v>40</v>
      </c>
      <c r="L247" s="1" t="s">
        <v>22</v>
      </c>
      <c r="M247" s="4">
        <v>44511</v>
      </c>
      <c r="N247" s="5">
        <v>239.97</v>
      </c>
      <c r="Q247" s="1"/>
      <c r="R247" s="4"/>
      <c r="S247" s="1"/>
      <c r="T247" s="1"/>
      <c r="U247" s="1"/>
      <c r="V247" s="1"/>
      <c r="W247" s="1"/>
      <c r="X247" s="5"/>
      <c r="Y247" s="5"/>
      <c r="Z247" s="1"/>
      <c r="AA247" s="1"/>
      <c r="AB247" s="1"/>
      <c r="AC247" s="4"/>
      <c r="AD247" s="5"/>
      <c r="AE247" s="4"/>
      <c r="AF247" s="5"/>
    </row>
    <row r="248" spans="1:32" ht="29.4" thickBot="1">
      <c r="A248" s="1" t="s">
        <v>395</v>
      </c>
      <c r="B248" s="4">
        <v>45756</v>
      </c>
      <c r="C248" s="1" t="s">
        <v>59</v>
      </c>
      <c r="D248" s="1" t="s">
        <v>60</v>
      </c>
      <c r="E248" s="1" t="s">
        <v>117</v>
      </c>
      <c r="F248" s="1" t="s">
        <v>118</v>
      </c>
      <c r="G248" s="1" t="s">
        <v>19</v>
      </c>
      <c r="H248" s="5">
        <v>1</v>
      </c>
      <c r="I248" s="5">
        <v>89.99</v>
      </c>
      <c r="J248" s="1" t="s">
        <v>57</v>
      </c>
      <c r="K248" s="1" t="s">
        <v>63</v>
      </c>
      <c r="L248" s="1" t="s">
        <v>22</v>
      </c>
      <c r="M248" s="4">
        <v>45346</v>
      </c>
      <c r="N248" s="5">
        <v>89.99</v>
      </c>
      <c r="Q248" s="1"/>
      <c r="R248" s="4"/>
      <c r="S248" s="1"/>
      <c r="T248" s="1"/>
      <c r="U248" s="1"/>
      <c r="V248" s="1"/>
      <c r="W248" s="1"/>
      <c r="X248" s="5"/>
      <c r="Y248" s="5"/>
      <c r="Z248" s="1"/>
      <c r="AA248" s="1"/>
      <c r="AB248" s="1"/>
      <c r="AC248" s="4"/>
      <c r="AD248" s="5"/>
      <c r="AE248" s="4"/>
      <c r="AF248" s="5"/>
    </row>
    <row r="249" spans="1:32" ht="29.4" thickBot="1">
      <c r="A249" s="1" t="s">
        <v>396</v>
      </c>
      <c r="B249" s="4">
        <v>45758</v>
      </c>
      <c r="C249" s="1" t="s">
        <v>293</v>
      </c>
      <c r="D249" s="1" t="s">
        <v>294</v>
      </c>
      <c r="E249" s="1" t="s">
        <v>80</v>
      </c>
      <c r="F249" s="1" t="s">
        <v>81</v>
      </c>
      <c r="G249" s="1" t="s">
        <v>19</v>
      </c>
      <c r="H249" s="5">
        <v>3</v>
      </c>
      <c r="I249" s="5">
        <v>699.99</v>
      </c>
      <c r="J249" s="1" t="s">
        <v>34</v>
      </c>
      <c r="K249" s="1" t="s">
        <v>40</v>
      </c>
      <c r="L249" s="1" t="s">
        <v>22</v>
      </c>
      <c r="M249" s="4">
        <v>44909</v>
      </c>
      <c r="N249" s="5">
        <v>2099.9699999999998</v>
      </c>
      <c r="Q249" s="1"/>
      <c r="R249" s="4"/>
      <c r="S249" s="1"/>
      <c r="T249" s="1"/>
      <c r="U249" s="1"/>
      <c r="V249" s="1"/>
      <c r="W249" s="1"/>
      <c r="X249" s="5"/>
      <c r="Y249" s="5"/>
      <c r="Z249" s="1"/>
      <c r="AA249" s="1"/>
      <c r="AB249" s="1"/>
      <c r="AC249" s="4"/>
      <c r="AD249" s="5"/>
      <c r="AE249" s="4"/>
      <c r="AF249" s="5"/>
    </row>
    <row r="250" spans="1:32" ht="29.4" thickBot="1">
      <c r="A250" s="1" t="s">
        <v>397</v>
      </c>
      <c r="B250" s="4">
        <v>45758</v>
      </c>
      <c r="C250" s="1" t="s">
        <v>226</v>
      </c>
      <c r="D250" s="1" t="s">
        <v>227</v>
      </c>
      <c r="E250" s="1" t="s">
        <v>117</v>
      </c>
      <c r="F250" s="1" t="s">
        <v>118</v>
      </c>
      <c r="G250" s="1" t="s">
        <v>19</v>
      </c>
      <c r="H250" s="5">
        <v>2</v>
      </c>
      <c r="I250" s="5">
        <v>89.99</v>
      </c>
      <c r="J250" s="1" t="s">
        <v>57</v>
      </c>
      <c r="K250" s="1" t="s">
        <v>63</v>
      </c>
      <c r="L250" s="1" t="s">
        <v>22</v>
      </c>
      <c r="M250" s="4">
        <v>45088</v>
      </c>
      <c r="N250" s="5">
        <v>179.98</v>
      </c>
      <c r="Q250" s="1"/>
      <c r="R250" s="4"/>
      <c r="S250" s="1"/>
      <c r="T250" s="1"/>
      <c r="U250" s="1"/>
      <c r="V250" s="1"/>
      <c r="W250" s="1"/>
      <c r="X250" s="5"/>
      <c r="Y250" s="5"/>
      <c r="Z250" s="1"/>
      <c r="AA250" s="1"/>
      <c r="AB250" s="1"/>
      <c r="AC250" s="4"/>
      <c r="AD250" s="5"/>
      <c r="AE250" s="4"/>
      <c r="AF250" s="5"/>
    </row>
    <row r="251" spans="1:32" ht="29.4" thickBot="1">
      <c r="A251" s="1" t="s">
        <v>398</v>
      </c>
      <c r="B251" s="4">
        <v>45758</v>
      </c>
      <c r="C251" s="1" t="s">
        <v>138</v>
      </c>
      <c r="D251" s="1" t="s">
        <v>139</v>
      </c>
      <c r="E251" s="1" t="s">
        <v>117</v>
      </c>
      <c r="F251" s="1" t="s">
        <v>118</v>
      </c>
      <c r="G251" s="1" t="s">
        <v>19</v>
      </c>
      <c r="H251" s="5">
        <v>3</v>
      </c>
      <c r="I251" s="5">
        <v>89.99</v>
      </c>
      <c r="J251" s="1" t="s">
        <v>57</v>
      </c>
      <c r="K251" s="1" t="s">
        <v>40</v>
      </c>
      <c r="L251" s="1" t="s">
        <v>27</v>
      </c>
      <c r="M251" s="4">
        <v>44878</v>
      </c>
      <c r="N251" s="5">
        <v>269.97000000000003</v>
      </c>
      <c r="Q251" s="1"/>
      <c r="R251" s="4"/>
      <c r="S251" s="1"/>
      <c r="T251" s="1"/>
      <c r="U251" s="1"/>
      <c r="V251" s="1"/>
      <c r="W251" s="1"/>
      <c r="X251" s="5"/>
      <c r="Y251" s="5"/>
      <c r="Z251" s="1"/>
      <c r="AA251" s="1"/>
      <c r="AB251" s="1"/>
      <c r="AC251" s="4"/>
      <c r="AD251" s="5"/>
      <c r="AE251" s="4"/>
      <c r="AF251" s="5"/>
    </row>
    <row r="252" spans="1:32" ht="15" thickBot="1">
      <c r="Q252" s="1"/>
      <c r="R252" s="4"/>
      <c r="S252" s="1"/>
      <c r="T252" s="1"/>
      <c r="U252" s="1"/>
      <c r="V252" s="1"/>
      <c r="W252" s="1"/>
      <c r="X252" s="5"/>
      <c r="Y252" s="5"/>
      <c r="Z252" s="1"/>
      <c r="AA252" s="1"/>
      <c r="AB252" s="1"/>
      <c r="AC252" s="4"/>
      <c r="AD252" s="5"/>
      <c r="AE252" s="4"/>
      <c r="AF252" s="5"/>
    </row>
    <row r="253" spans="1:32" ht="15" thickBot="1">
      <c r="Q253" s="1"/>
      <c r="R253" s="4"/>
      <c r="S253" s="1"/>
      <c r="T253" s="1"/>
      <c r="U253" s="1"/>
      <c r="V253" s="1"/>
      <c r="W253" s="1"/>
      <c r="X253" s="5"/>
      <c r="Y253" s="5"/>
      <c r="Z253" s="1"/>
      <c r="AA253" s="1"/>
      <c r="AB253" s="1"/>
      <c r="AC253" s="4"/>
      <c r="AD253" s="5"/>
      <c r="AE253" s="4"/>
      <c r="AF253" s="5"/>
    </row>
    <row r="254" spans="1:32" ht="15" thickBot="1">
      <c r="Q254" s="1"/>
      <c r="R254" s="4"/>
      <c r="S254" s="1"/>
      <c r="T254" s="1"/>
      <c r="U254" s="1"/>
      <c r="V254" s="1"/>
      <c r="W254" s="1"/>
      <c r="X254" s="5"/>
      <c r="Y254" s="5"/>
      <c r="Z254" s="1"/>
      <c r="AA254" s="1"/>
      <c r="AB254" s="1"/>
      <c r="AC254" s="4"/>
      <c r="AD254" s="5"/>
      <c r="AE254" s="4"/>
      <c r="AF254" s="5"/>
    </row>
    <row r="255" spans="1:32" ht="15" thickBot="1">
      <c r="Q255" s="1"/>
      <c r="R255" s="4"/>
      <c r="S255" s="1"/>
      <c r="T255" s="1"/>
      <c r="U255" s="1"/>
      <c r="V255" s="1"/>
      <c r="W255" s="1"/>
      <c r="X255" s="5"/>
      <c r="Y255" s="5"/>
      <c r="Z255" s="1"/>
      <c r="AA255" s="1"/>
      <c r="AB255" s="1"/>
      <c r="AC255" s="4"/>
      <c r="AD255" s="5"/>
      <c r="AE255" s="4"/>
      <c r="AF255" s="5"/>
    </row>
    <row r="256" spans="1:32" ht="15" thickBot="1">
      <c r="Q256" s="1"/>
      <c r="R256" s="4"/>
      <c r="S256" s="1"/>
      <c r="T256" s="1"/>
      <c r="U256" s="1"/>
      <c r="V256" s="1"/>
      <c r="W256" s="1"/>
      <c r="X256" s="5"/>
      <c r="Y256" s="5"/>
      <c r="Z256" s="1"/>
      <c r="AA256" s="1"/>
      <c r="AB256" s="1"/>
      <c r="AC256" s="4"/>
      <c r="AD256" s="5"/>
      <c r="AE256" s="4"/>
      <c r="AF256" s="5"/>
    </row>
    <row r="257" spans="17:32" ht="15" thickBot="1">
      <c r="Q257" s="1"/>
      <c r="R257" s="4"/>
      <c r="S257" s="1"/>
      <c r="T257" s="1"/>
      <c r="U257" s="1"/>
      <c r="V257" s="1"/>
      <c r="W257" s="1"/>
      <c r="X257" s="5"/>
      <c r="Y257" s="5"/>
      <c r="Z257" s="1"/>
      <c r="AA257" s="1"/>
      <c r="AB257" s="1"/>
      <c r="AC257" s="4"/>
      <c r="AD257" s="5"/>
      <c r="AE257" s="4"/>
      <c r="AF257" s="5"/>
    </row>
    <row r="258" spans="17:32" ht="15" thickBot="1">
      <c r="Q258" s="1"/>
      <c r="R258" s="4"/>
      <c r="S258" s="1"/>
      <c r="T258" s="1"/>
      <c r="U258" s="1"/>
      <c r="V258" s="1"/>
      <c r="W258" s="1"/>
      <c r="X258" s="5"/>
      <c r="Y258" s="5"/>
      <c r="Z258" s="1"/>
      <c r="AA258" s="1"/>
      <c r="AB258" s="1"/>
      <c r="AC258" s="4"/>
      <c r="AD258" s="5"/>
      <c r="AE258" s="4"/>
      <c r="AF258" s="5"/>
    </row>
    <row r="259" spans="17:32" ht="15" thickBot="1">
      <c r="Q259" s="1"/>
      <c r="R259" s="4"/>
      <c r="S259" s="1"/>
      <c r="T259" s="1"/>
      <c r="U259" s="1"/>
      <c r="V259" s="1"/>
      <c r="W259" s="1"/>
      <c r="X259" s="5"/>
      <c r="Y259" s="5"/>
      <c r="Z259" s="1"/>
      <c r="AA259" s="1"/>
      <c r="AB259" s="1"/>
      <c r="AC259" s="4"/>
      <c r="AD259" s="5"/>
      <c r="AE259" s="4"/>
      <c r="AF259" s="5"/>
    </row>
    <row r="260" spans="17:32" ht="15" thickBot="1">
      <c r="Q260" s="1"/>
      <c r="R260" s="4"/>
      <c r="S260" s="1"/>
      <c r="T260" s="1"/>
      <c r="U260" s="1"/>
      <c r="V260" s="1"/>
      <c r="W260" s="1"/>
      <c r="X260" s="5"/>
      <c r="Y260" s="5"/>
      <c r="Z260" s="1"/>
      <c r="AA260" s="1"/>
      <c r="AB260" s="1"/>
      <c r="AC260" s="4"/>
      <c r="AD260" s="5"/>
      <c r="AE260" s="4"/>
      <c r="AF260" s="5"/>
    </row>
    <row r="261" spans="17:32" ht="15" thickBot="1">
      <c r="Q261" s="1"/>
      <c r="R261" s="4"/>
      <c r="S261" s="1"/>
      <c r="T261" s="1"/>
      <c r="U261" s="1"/>
      <c r="V261" s="1"/>
      <c r="W261" s="1"/>
      <c r="X261" s="5"/>
      <c r="Y261" s="5"/>
      <c r="Z261" s="1"/>
      <c r="AA261" s="1"/>
      <c r="AB261" s="1"/>
      <c r="AC261" s="4"/>
      <c r="AD261" s="5"/>
      <c r="AE261" s="4"/>
      <c r="AF261" s="5"/>
    </row>
    <row r="262" spans="17:32" ht="15" thickBot="1">
      <c r="Q262" s="1"/>
      <c r="R262" s="4"/>
      <c r="S262" s="1"/>
      <c r="T262" s="1"/>
      <c r="U262" s="1"/>
      <c r="V262" s="1"/>
      <c r="W262" s="1"/>
      <c r="X262" s="5"/>
      <c r="Y262" s="5"/>
      <c r="Z262" s="1"/>
      <c r="AA262" s="1"/>
      <c r="AB262" s="1"/>
      <c r="AC262" s="4"/>
      <c r="AD262" s="5"/>
      <c r="AE262" s="4"/>
      <c r="AF262" s="5"/>
    </row>
    <row r="263" spans="17:32" ht="15" thickBot="1">
      <c r="Q263" s="1"/>
      <c r="R263" s="4"/>
      <c r="S263" s="1"/>
      <c r="T263" s="1"/>
      <c r="U263" s="1"/>
      <c r="V263" s="1"/>
      <c r="W263" s="1"/>
      <c r="X263" s="5"/>
      <c r="Y263" s="5"/>
      <c r="Z263" s="1"/>
      <c r="AA263" s="1"/>
      <c r="AB263" s="1"/>
      <c r="AC263" s="4"/>
      <c r="AD263" s="5"/>
      <c r="AE263" s="4"/>
      <c r="AF263" s="5"/>
    </row>
    <row r="264" spans="17:32" ht="15" thickBot="1">
      <c r="Q264" s="1"/>
      <c r="R264" s="4"/>
      <c r="S264" s="1"/>
      <c r="T264" s="1"/>
      <c r="U264" s="1"/>
      <c r="V264" s="1"/>
      <c r="W264" s="1"/>
      <c r="X264" s="5"/>
      <c r="Y264" s="5"/>
      <c r="Z264" s="1"/>
      <c r="AA264" s="1"/>
      <c r="AB264" s="1"/>
      <c r="AC264" s="4"/>
      <c r="AD264" s="5"/>
      <c r="AE264" s="4"/>
      <c r="AF264" s="5"/>
    </row>
    <row r="265" spans="17:32" ht="15" thickBot="1">
      <c r="Q265" s="1"/>
      <c r="R265" s="4"/>
      <c r="S265" s="1"/>
      <c r="T265" s="1"/>
      <c r="U265" s="1"/>
      <c r="V265" s="1"/>
      <c r="W265" s="1"/>
      <c r="X265" s="5"/>
      <c r="Y265" s="5"/>
      <c r="Z265" s="1"/>
      <c r="AA265" s="1"/>
      <c r="AB265" s="1"/>
      <c r="AC265" s="4"/>
      <c r="AD265" s="5"/>
      <c r="AE265" s="4"/>
      <c r="AF265" s="5"/>
    </row>
    <row r="266" spans="17:32" ht="15" thickBot="1">
      <c r="Q266" s="1"/>
      <c r="R266" s="4"/>
      <c r="S266" s="1"/>
      <c r="T266" s="1"/>
      <c r="U266" s="1"/>
      <c r="V266" s="1"/>
      <c r="W266" s="1"/>
      <c r="X266" s="5"/>
      <c r="Y266" s="5"/>
      <c r="Z266" s="1"/>
      <c r="AA266" s="1"/>
      <c r="AB266" s="1"/>
      <c r="AC266" s="4"/>
      <c r="AD266" s="5"/>
      <c r="AE266" s="4"/>
      <c r="AF266" s="5"/>
    </row>
    <row r="267" spans="17:32" ht="15" thickBot="1">
      <c r="Q267" s="1"/>
      <c r="R267" s="4"/>
      <c r="S267" s="1"/>
      <c r="T267" s="1"/>
      <c r="U267" s="1"/>
      <c r="V267" s="1"/>
      <c r="W267" s="1"/>
      <c r="X267" s="5"/>
      <c r="Y267" s="5"/>
      <c r="Z267" s="1"/>
      <c r="AA267" s="1"/>
      <c r="AB267" s="1"/>
      <c r="AC267" s="4"/>
      <c r="AD267" s="5"/>
      <c r="AE267" s="4"/>
      <c r="AF267" s="5"/>
    </row>
    <row r="268" spans="17:32" ht="15" thickBot="1">
      <c r="Q268" s="1"/>
      <c r="R268" s="4"/>
      <c r="S268" s="1"/>
      <c r="T268" s="1"/>
      <c r="U268" s="1"/>
      <c r="V268" s="1"/>
      <c r="W268" s="1"/>
      <c r="X268" s="5"/>
      <c r="Y268" s="5"/>
      <c r="Z268" s="1"/>
      <c r="AA268" s="1"/>
      <c r="AB268" s="1"/>
      <c r="AC268" s="4"/>
      <c r="AD268" s="5"/>
      <c r="AE268" s="4"/>
      <c r="AF268" s="5"/>
    </row>
    <row r="269" spans="17:32" ht="15" thickBot="1">
      <c r="Q269" s="1"/>
      <c r="R269" s="4"/>
      <c r="S269" s="1"/>
      <c r="T269" s="1"/>
      <c r="U269" s="1"/>
      <c r="V269" s="1"/>
      <c r="W269" s="1"/>
      <c r="X269" s="5"/>
      <c r="Y269" s="5"/>
      <c r="Z269" s="1"/>
      <c r="AA269" s="1"/>
      <c r="AB269" s="1"/>
      <c r="AC269" s="4"/>
      <c r="AD269" s="5"/>
      <c r="AE269" s="4"/>
      <c r="AF269" s="5"/>
    </row>
    <row r="270" spans="17:32" ht="15" thickBot="1">
      <c r="Q270" s="1"/>
      <c r="R270" s="4"/>
      <c r="S270" s="1"/>
      <c r="T270" s="1"/>
      <c r="U270" s="1"/>
      <c r="V270" s="1"/>
      <c r="W270" s="1"/>
      <c r="X270" s="5"/>
      <c r="Y270" s="5"/>
      <c r="Z270" s="1"/>
      <c r="AA270" s="1"/>
      <c r="AB270" s="1"/>
      <c r="AC270" s="4"/>
      <c r="AD270" s="5"/>
      <c r="AE270" s="4"/>
      <c r="AF270" s="5"/>
    </row>
    <row r="271" spans="17:32" ht="15" thickBot="1">
      <c r="Q271" s="1"/>
      <c r="R271" s="4"/>
      <c r="S271" s="1"/>
      <c r="T271" s="1"/>
      <c r="U271" s="1"/>
      <c r="V271" s="1"/>
      <c r="W271" s="1"/>
      <c r="X271" s="5"/>
      <c r="Y271" s="5"/>
      <c r="Z271" s="1"/>
      <c r="AA271" s="1"/>
      <c r="AB271" s="1"/>
      <c r="AC271" s="4"/>
      <c r="AD271" s="5"/>
      <c r="AE271" s="4"/>
      <c r="AF271" s="5"/>
    </row>
    <row r="272" spans="17:32" ht="15" thickBot="1">
      <c r="Q272" s="1"/>
      <c r="R272" s="4"/>
      <c r="S272" s="1"/>
      <c r="T272" s="1"/>
      <c r="U272" s="1"/>
      <c r="V272" s="1"/>
      <c r="W272" s="1"/>
      <c r="X272" s="5"/>
      <c r="Y272" s="5"/>
      <c r="Z272" s="1"/>
      <c r="AA272" s="1"/>
      <c r="AB272" s="1"/>
      <c r="AC272" s="4"/>
      <c r="AD272" s="5"/>
      <c r="AE272" s="4"/>
      <c r="AF272" s="5"/>
    </row>
    <row r="273" spans="17:32" ht="15" thickBot="1">
      <c r="Q273" s="1"/>
      <c r="R273" s="4"/>
      <c r="S273" s="1"/>
      <c r="T273" s="1"/>
      <c r="U273" s="1"/>
      <c r="V273" s="1"/>
      <c r="W273" s="1"/>
      <c r="X273" s="5"/>
      <c r="Y273" s="5"/>
      <c r="Z273" s="1"/>
      <c r="AA273" s="1"/>
      <c r="AB273" s="1"/>
      <c r="AC273" s="4"/>
      <c r="AD273" s="5"/>
      <c r="AE273" s="4"/>
      <c r="AF273" s="5"/>
    </row>
    <row r="274" spans="17:32" ht="15" thickBot="1">
      <c r="Q274" s="1"/>
      <c r="R274" s="4"/>
      <c r="S274" s="1"/>
      <c r="T274" s="1"/>
      <c r="U274" s="1"/>
      <c r="V274" s="1"/>
      <c r="W274" s="1"/>
      <c r="X274" s="5"/>
      <c r="Y274" s="5"/>
      <c r="Z274" s="1"/>
      <c r="AA274" s="1"/>
      <c r="AB274" s="1"/>
      <c r="AC274" s="4"/>
      <c r="AD274" s="5"/>
      <c r="AE274" s="4"/>
      <c r="AF274" s="5"/>
    </row>
    <row r="275" spans="17:32" ht="15" thickBot="1">
      <c r="Q275" s="1"/>
      <c r="R275" s="4"/>
      <c r="S275" s="1"/>
      <c r="T275" s="1"/>
      <c r="U275" s="1"/>
      <c r="V275" s="1"/>
      <c r="W275" s="1"/>
      <c r="X275" s="5"/>
      <c r="Y275" s="5"/>
      <c r="Z275" s="1"/>
      <c r="AA275" s="1"/>
      <c r="AB275" s="1"/>
      <c r="AC275" s="4"/>
      <c r="AD275" s="5"/>
      <c r="AE275" s="4"/>
      <c r="AF275" s="5"/>
    </row>
    <row r="276" spans="17:32" ht="15" thickBot="1">
      <c r="Q276" s="1"/>
      <c r="R276" s="4"/>
      <c r="S276" s="1"/>
      <c r="T276" s="1"/>
      <c r="U276" s="1"/>
      <c r="V276" s="1"/>
      <c r="W276" s="1"/>
      <c r="X276" s="5"/>
      <c r="Y276" s="5"/>
      <c r="Z276" s="1"/>
      <c r="AA276" s="1"/>
      <c r="AB276" s="1"/>
      <c r="AC276" s="4"/>
      <c r="AD276" s="5"/>
      <c r="AE276" s="4"/>
      <c r="AF276" s="5"/>
    </row>
    <row r="277" spans="17:32" ht="15" thickBot="1">
      <c r="Q277" s="1"/>
      <c r="R277" s="4"/>
      <c r="S277" s="1"/>
      <c r="T277" s="1"/>
      <c r="U277" s="1"/>
      <c r="V277" s="1"/>
      <c r="W277" s="1"/>
      <c r="X277" s="5"/>
      <c r="Y277" s="5"/>
      <c r="Z277" s="1"/>
      <c r="AA277" s="1"/>
      <c r="AB277" s="1"/>
      <c r="AC277" s="4"/>
      <c r="AD277" s="5"/>
      <c r="AE277" s="4"/>
      <c r="AF277" s="5"/>
    </row>
    <row r="278" spans="17:32" ht="15" thickBot="1">
      <c r="Q278" s="1"/>
      <c r="R278" s="4"/>
      <c r="S278" s="1"/>
      <c r="T278" s="1"/>
      <c r="U278" s="1"/>
      <c r="V278" s="1"/>
      <c r="W278" s="1"/>
      <c r="X278" s="5"/>
      <c r="Y278" s="5"/>
      <c r="Z278" s="1"/>
      <c r="AA278" s="1"/>
      <c r="AB278" s="1"/>
      <c r="AC278" s="4"/>
      <c r="AD278" s="5"/>
      <c r="AE278" s="4"/>
      <c r="AF278" s="5"/>
    </row>
    <row r="279" spans="17:32" ht="15" thickBot="1">
      <c r="Q279" s="1"/>
      <c r="R279" s="4"/>
      <c r="S279" s="1"/>
      <c r="T279" s="1"/>
      <c r="U279" s="1"/>
      <c r="V279" s="1"/>
      <c r="W279" s="1"/>
      <c r="X279" s="5"/>
      <c r="Y279" s="5"/>
      <c r="Z279" s="1"/>
      <c r="AA279" s="1"/>
      <c r="AB279" s="1"/>
      <c r="AC279" s="4"/>
      <c r="AD279" s="5"/>
      <c r="AE279" s="4"/>
      <c r="AF279" s="5"/>
    </row>
    <row r="280" spans="17:32" ht="15" thickBot="1">
      <c r="Q280" s="1"/>
      <c r="R280" s="4"/>
      <c r="S280" s="1"/>
      <c r="T280" s="1"/>
      <c r="U280" s="1"/>
      <c r="V280" s="1"/>
      <c r="W280" s="1"/>
      <c r="X280" s="5"/>
      <c r="Y280" s="5"/>
      <c r="Z280" s="1"/>
      <c r="AA280" s="1"/>
      <c r="AB280" s="1"/>
      <c r="AC280" s="4"/>
      <c r="AD280" s="5"/>
      <c r="AE280" s="4"/>
      <c r="AF280" s="5"/>
    </row>
    <row r="281" spans="17:32" ht="15" thickBot="1">
      <c r="Q281" s="1"/>
      <c r="R281" s="4"/>
      <c r="S281" s="1"/>
      <c r="T281" s="1"/>
      <c r="U281" s="1"/>
      <c r="V281" s="1"/>
      <c r="W281" s="1"/>
      <c r="X281" s="5"/>
      <c r="Y281" s="5"/>
      <c r="Z281" s="1"/>
      <c r="AA281" s="1"/>
      <c r="AB281" s="1"/>
      <c r="AC281" s="4"/>
      <c r="AD281" s="5"/>
      <c r="AE281" s="4"/>
      <c r="AF281" s="5"/>
    </row>
    <row r="282" spans="17:32" ht="15" thickBot="1">
      <c r="Q282" s="1"/>
      <c r="R282" s="4"/>
      <c r="S282" s="1"/>
      <c r="T282" s="1"/>
      <c r="U282" s="1"/>
      <c r="V282" s="1"/>
      <c r="W282" s="1"/>
      <c r="X282" s="5"/>
      <c r="Y282" s="5"/>
      <c r="Z282" s="1"/>
      <c r="AA282" s="1"/>
      <c r="AB282" s="1"/>
      <c r="AC282" s="4"/>
      <c r="AD282" s="5"/>
      <c r="AE282" s="4"/>
      <c r="AF282" s="5"/>
    </row>
    <row r="283" spans="17:32" ht="15" thickBot="1">
      <c r="Q283" s="1"/>
      <c r="R283" s="4"/>
      <c r="S283" s="1"/>
      <c r="T283" s="1"/>
      <c r="U283" s="1"/>
      <c r="V283" s="1"/>
      <c r="W283" s="1"/>
      <c r="X283" s="5"/>
      <c r="Y283" s="5"/>
      <c r="Z283" s="1"/>
      <c r="AA283" s="1"/>
      <c r="AB283" s="1"/>
      <c r="AC283" s="4"/>
      <c r="AD283" s="5"/>
      <c r="AE283" s="4"/>
      <c r="AF283" s="5"/>
    </row>
    <row r="284" spans="17:32" ht="15" thickBot="1">
      <c r="Q284" s="1"/>
      <c r="R284" s="4"/>
      <c r="S284" s="1"/>
      <c r="T284" s="1"/>
      <c r="U284" s="1"/>
      <c r="V284" s="1"/>
      <c r="W284" s="1"/>
      <c r="X284" s="5"/>
      <c r="Y284" s="5"/>
      <c r="Z284" s="1"/>
      <c r="AA284" s="1"/>
      <c r="AB284" s="1"/>
      <c r="AC284" s="4"/>
      <c r="AD284" s="5"/>
      <c r="AE284" s="4"/>
      <c r="AF284" s="5"/>
    </row>
    <row r="285" spans="17:32" ht="15" thickBot="1">
      <c r="Q285" s="1"/>
      <c r="R285" s="4"/>
      <c r="S285" s="1"/>
      <c r="T285" s="1"/>
      <c r="U285" s="1"/>
      <c r="V285" s="1"/>
      <c r="W285" s="1"/>
      <c r="X285" s="5"/>
      <c r="Y285" s="5"/>
      <c r="Z285" s="1"/>
      <c r="AA285" s="1"/>
      <c r="AB285" s="1"/>
      <c r="AC285" s="4"/>
      <c r="AD285" s="5"/>
      <c r="AE285" s="4"/>
      <c r="AF285" s="5"/>
    </row>
    <row r="286" spans="17:32" ht="15" thickBot="1">
      <c r="Q286" s="1"/>
      <c r="R286" s="4"/>
      <c r="S286" s="1"/>
      <c r="T286" s="1"/>
      <c r="U286" s="1"/>
      <c r="V286" s="1"/>
      <c r="W286" s="1"/>
      <c r="X286" s="5"/>
      <c r="Y286" s="5"/>
      <c r="Z286" s="1"/>
      <c r="AA286" s="1"/>
      <c r="AB286" s="1"/>
      <c r="AC286" s="4"/>
      <c r="AD286" s="5"/>
      <c r="AE286" s="4"/>
      <c r="AF286" s="5"/>
    </row>
    <row r="287" spans="17:32" ht="15" thickBot="1">
      <c r="Q287" s="1"/>
      <c r="R287" s="4"/>
      <c r="S287" s="1"/>
      <c r="T287" s="1"/>
      <c r="U287" s="1"/>
      <c r="V287" s="1"/>
      <c r="W287" s="1"/>
      <c r="X287" s="5"/>
      <c r="Y287" s="5"/>
      <c r="Z287" s="1"/>
      <c r="AA287" s="1"/>
      <c r="AB287" s="1"/>
      <c r="AC287" s="4"/>
      <c r="AD287" s="5"/>
      <c r="AE287" s="4"/>
      <c r="AF287" s="5"/>
    </row>
    <row r="288" spans="17:32" ht="15" thickBot="1">
      <c r="Q288" s="1"/>
      <c r="R288" s="4"/>
      <c r="S288" s="1"/>
      <c r="T288" s="1"/>
      <c r="U288" s="1"/>
      <c r="V288" s="1"/>
      <c r="W288" s="1"/>
      <c r="X288" s="5"/>
      <c r="Y288" s="5"/>
      <c r="Z288" s="1"/>
      <c r="AA288" s="1"/>
      <c r="AB288" s="1"/>
      <c r="AC288" s="4"/>
      <c r="AD288" s="5"/>
      <c r="AE288" s="4"/>
      <c r="AF288" s="5"/>
    </row>
    <row r="289" spans="17:32" ht="15" thickBot="1">
      <c r="Q289" s="1"/>
      <c r="R289" s="4"/>
      <c r="S289" s="1"/>
      <c r="T289" s="1"/>
      <c r="U289" s="1"/>
      <c r="V289" s="1"/>
      <c r="W289" s="1"/>
      <c r="X289" s="5"/>
      <c r="Y289" s="5"/>
      <c r="Z289" s="1"/>
      <c r="AA289" s="1"/>
      <c r="AB289" s="1"/>
      <c r="AC289" s="4"/>
      <c r="AD289" s="5"/>
      <c r="AE289" s="4"/>
      <c r="AF289" s="5"/>
    </row>
    <row r="290" spans="17:32" ht="15" thickBot="1">
      <c r="Q290" s="1"/>
      <c r="R290" s="4"/>
      <c r="S290" s="1"/>
      <c r="T290" s="1"/>
      <c r="U290" s="1"/>
      <c r="V290" s="1"/>
      <c r="W290" s="1"/>
      <c r="X290" s="5"/>
      <c r="Y290" s="5"/>
      <c r="Z290" s="1"/>
      <c r="AA290" s="1"/>
      <c r="AB290" s="1"/>
      <c r="AC290" s="4"/>
      <c r="AD290" s="5"/>
      <c r="AE290" s="4"/>
      <c r="AF290" s="5"/>
    </row>
    <row r="291" spans="17:32" ht="15" thickBot="1">
      <c r="Q291" s="1"/>
      <c r="R291" s="4"/>
      <c r="S291" s="1"/>
      <c r="T291" s="1"/>
      <c r="U291" s="1"/>
      <c r="V291" s="1"/>
      <c r="W291" s="1"/>
      <c r="X291" s="5"/>
      <c r="Y291" s="5"/>
      <c r="Z291" s="1"/>
      <c r="AA291" s="1"/>
      <c r="AB291" s="1"/>
      <c r="AC291" s="4"/>
      <c r="AD291" s="5"/>
      <c r="AE291" s="4"/>
      <c r="AF291" s="5"/>
    </row>
    <row r="292" spans="17:32" ht="15" thickBot="1">
      <c r="Q292" s="1"/>
      <c r="R292" s="4"/>
      <c r="S292" s="1"/>
      <c r="T292" s="1"/>
      <c r="U292" s="1"/>
      <c r="V292" s="1"/>
      <c r="W292" s="1"/>
      <c r="X292" s="5"/>
      <c r="Y292" s="5"/>
      <c r="Z292" s="1"/>
      <c r="AA292" s="1"/>
      <c r="AB292" s="1"/>
      <c r="AC292" s="4"/>
      <c r="AD292" s="5"/>
      <c r="AE292" s="4"/>
      <c r="AF292" s="5"/>
    </row>
    <row r="293" spans="17:32" ht="15" thickBot="1">
      <c r="Q293" s="1"/>
      <c r="R293" s="4"/>
      <c r="S293" s="1"/>
      <c r="T293" s="1"/>
      <c r="U293" s="1"/>
      <c r="V293" s="1"/>
      <c r="W293" s="1"/>
      <c r="X293" s="5"/>
      <c r="Y293" s="5"/>
      <c r="Z293" s="1"/>
      <c r="AA293" s="1"/>
      <c r="AB293" s="1"/>
      <c r="AC293" s="4"/>
      <c r="AD293" s="5"/>
      <c r="AE293" s="4"/>
      <c r="AF293" s="5"/>
    </row>
    <row r="294" spans="17:32" ht="15" thickBot="1">
      <c r="Q294" s="1"/>
      <c r="R294" s="4"/>
      <c r="S294" s="1"/>
      <c r="T294" s="1"/>
      <c r="U294" s="1"/>
      <c r="V294" s="1"/>
      <c r="W294" s="1"/>
      <c r="X294" s="5"/>
      <c r="Y294" s="5"/>
      <c r="Z294" s="1"/>
      <c r="AA294" s="1"/>
      <c r="AB294" s="1"/>
      <c r="AC294" s="4"/>
      <c r="AD294" s="5"/>
      <c r="AE294" s="4"/>
      <c r="AF294" s="5"/>
    </row>
    <row r="295" spans="17:32" ht="15" thickBot="1">
      <c r="Q295" s="1"/>
      <c r="R295" s="4"/>
      <c r="S295" s="1"/>
      <c r="T295" s="1"/>
      <c r="U295" s="1"/>
      <c r="V295" s="1"/>
      <c r="W295" s="1"/>
      <c r="X295" s="5"/>
      <c r="Y295" s="5"/>
      <c r="Z295" s="1"/>
      <c r="AA295" s="1"/>
      <c r="AB295" s="1"/>
      <c r="AC295" s="4"/>
      <c r="AD295" s="5"/>
      <c r="AE295" s="4"/>
      <c r="AF295" s="5"/>
    </row>
    <row r="296" spans="17:32" ht="15" thickBot="1">
      <c r="Q296" s="1"/>
      <c r="R296" s="4"/>
      <c r="S296" s="1"/>
      <c r="T296" s="1"/>
      <c r="U296" s="1"/>
      <c r="V296" s="1"/>
      <c r="W296" s="1"/>
      <c r="X296" s="5"/>
      <c r="Y296" s="5"/>
      <c r="Z296" s="1"/>
      <c r="AA296" s="1"/>
      <c r="AB296" s="1"/>
      <c r="AC296" s="4"/>
      <c r="AD296" s="5"/>
      <c r="AE296" s="4"/>
      <c r="AF296" s="5"/>
    </row>
    <row r="297" spans="17:32" ht="15" thickBot="1">
      <c r="Q297" s="1"/>
      <c r="R297" s="4"/>
      <c r="S297" s="1"/>
      <c r="T297" s="1"/>
      <c r="U297" s="1"/>
      <c r="V297" s="1"/>
      <c r="W297" s="1"/>
      <c r="X297" s="5"/>
      <c r="Y297" s="5"/>
      <c r="Z297" s="1"/>
      <c r="AA297" s="1"/>
      <c r="AB297" s="1"/>
      <c r="AC297" s="4"/>
      <c r="AD297" s="5"/>
      <c r="AE297" s="4"/>
      <c r="AF297" s="5"/>
    </row>
    <row r="298" spans="17:32" ht="15" thickBot="1">
      <c r="Q298" s="1"/>
      <c r="R298" s="4"/>
      <c r="S298" s="1"/>
      <c r="T298" s="1"/>
      <c r="U298" s="1"/>
      <c r="V298" s="1"/>
      <c r="W298" s="1"/>
      <c r="X298" s="5"/>
      <c r="Y298" s="5"/>
      <c r="Z298" s="1"/>
      <c r="AA298" s="1"/>
      <c r="AB298" s="1"/>
      <c r="AC298" s="4"/>
      <c r="AD298" s="5"/>
      <c r="AE298" s="4"/>
      <c r="AF298" s="5"/>
    </row>
    <row r="299" spans="17:32" ht="15" thickBot="1">
      <c r="Q299" s="1"/>
      <c r="R299" s="4"/>
      <c r="S299" s="1"/>
      <c r="T299" s="1"/>
      <c r="U299" s="1"/>
      <c r="V299" s="1"/>
      <c r="W299" s="1"/>
      <c r="X299" s="5"/>
      <c r="Y299" s="5"/>
      <c r="Z299" s="1"/>
      <c r="AA299" s="1"/>
      <c r="AB299" s="1"/>
      <c r="AC299" s="4"/>
      <c r="AD299" s="5"/>
      <c r="AE299" s="4"/>
      <c r="AF299" s="5"/>
    </row>
    <row r="300" spans="17:32" ht="15" thickBot="1">
      <c r="Q300" s="1"/>
      <c r="R300" s="4"/>
      <c r="S300" s="1"/>
      <c r="T300" s="1"/>
      <c r="U300" s="1"/>
      <c r="V300" s="1"/>
      <c r="W300" s="1"/>
      <c r="X300" s="5"/>
      <c r="Y300" s="5"/>
      <c r="Z300" s="1"/>
      <c r="AA300" s="1"/>
      <c r="AB300" s="1"/>
      <c r="AC300" s="4"/>
      <c r="AD300" s="5"/>
      <c r="AE300" s="4"/>
      <c r="AF300" s="5"/>
    </row>
    <row r="301" spans="17:32" ht="15" thickBot="1">
      <c r="Q301" s="1"/>
      <c r="R301" s="4"/>
      <c r="S301" s="1"/>
      <c r="T301" s="1"/>
      <c r="U301" s="1"/>
      <c r="V301" s="1"/>
      <c r="W301" s="1"/>
      <c r="X301" s="5"/>
      <c r="Y301" s="5"/>
      <c r="Z301" s="1"/>
      <c r="AA301" s="1"/>
      <c r="AB301" s="1"/>
      <c r="AC301" s="4"/>
      <c r="AD301" s="5"/>
      <c r="AE301" s="4"/>
      <c r="AF301" s="5"/>
    </row>
    <row r="302" spans="17:32" ht="15" thickBot="1">
      <c r="Q302" s="1"/>
      <c r="R302" s="4"/>
      <c r="S302" s="1"/>
      <c r="T302" s="1"/>
      <c r="U302" s="1"/>
      <c r="V302" s="1"/>
      <c r="W302" s="1"/>
      <c r="X302" s="5"/>
      <c r="Y302" s="5"/>
      <c r="Z302" s="1"/>
      <c r="AA302" s="1"/>
      <c r="AB302" s="1"/>
      <c r="AC302" s="4"/>
      <c r="AD302" s="5"/>
      <c r="AE302" s="4"/>
      <c r="AF302" s="5"/>
    </row>
    <row r="303" spans="17:32" ht="15" thickBot="1">
      <c r="Q303" s="1"/>
      <c r="R303" s="4"/>
      <c r="S303" s="1"/>
      <c r="T303" s="1"/>
      <c r="U303" s="1"/>
      <c r="V303" s="1"/>
      <c r="W303" s="1"/>
      <c r="X303" s="5"/>
      <c r="Y303" s="5"/>
      <c r="Z303" s="1"/>
      <c r="AA303" s="1"/>
      <c r="AB303" s="1"/>
      <c r="AC303" s="4"/>
      <c r="AD303" s="5"/>
      <c r="AE303" s="4"/>
      <c r="AF303" s="5"/>
    </row>
    <row r="304" spans="17:32" ht="15" thickBot="1">
      <c r="Q304" s="1"/>
      <c r="R304" s="4"/>
      <c r="S304" s="1"/>
      <c r="T304" s="1"/>
      <c r="U304" s="1"/>
      <c r="V304" s="1"/>
      <c r="W304" s="1"/>
      <c r="X304" s="5"/>
      <c r="Y304" s="5"/>
      <c r="Z304" s="1"/>
      <c r="AA304" s="1"/>
      <c r="AB304" s="1"/>
      <c r="AC304" s="4"/>
      <c r="AD304" s="5"/>
      <c r="AE304" s="4"/>
      <c r="AF304" s="5"/>
    </row>
    <row r="305" spans="17:32" ht="15" thickBot="1">
      <c r="Q305" s="1"/>
      <c r="R305" s="4"/>
      <c r="S305" s="1"/>
      <c r="T305" s="1"/>
      <c r="U305" s="1"/>
      <c r="V305" s="1"/>
      <c r="W305" s="1"/>
      <c r="X305" s="5"/>
      <c r="Y305" s="5"/>
      <c r="Z305" s="1"/>
      <c r="AA305" s="1"/>
      <c r="AB305" s="1"/>
      <c r="AC305" s="4"/>
      <c r="AD305" s="5"/>
      <c r="AE305" s="4"/>
      <c r="AF305" s="5"/>
    </row>
    <row r="306" spans="17:32" ht="15" thickBot="1">
      <c r="Q306" s="1"/>
      <c r="R306" s="4"/>
      <c r="S306" s="1"/>
      <c r="T306" s="1"/>
      <c r="U306" s="1"/>
      <c r="V306" s="1"/>
      <c r="W306" s="1"/>
      <c r="X306" s="5"/>
      <c r="Y306" s="5"/>
      <c r="Z306" s="1"/>
      <c r="AA306" s="1"/>
      <c r="AB306" s="1"/>
      <c r="AC306" s="4"/>
      <c r="AD306" s="5"/>
      <c r="AE306" s="4"/>
      <c r="AF306" s="5"/>
    </row>
    <row r="307" spans="17:32" ht="15" thickBot="1">
      <c r="Q307" s="1"/>
      <c r="R307" s="4"/>
      <c r="S307" s="1"/>
      <c r="T307" s="1"/>
      <c r="U307" s="1"/>
      <c r="V307" s="1"/>
      <c r="W307" s="1"/>
      <c r="X307" s="5"/>
      <c r="Y307" s="5"/>
      <c r="Z307" s="1"/>
      <c r="AA307" s="1"/>
      <c r="AB307" s="1"/>
      <c r="AC307" s="4"/>
      <c r="AD307" s="5"/>
      <c r="AE307" s="4"/>
      <c r="AF307" s="5"/>
    </row>
    <row r="308" spans="17:32" ht="15" thickBot="1">
      <c r="Q308" s="1"/>
      <c r="R308" s="4"/>
      <c r="S308" s="1"/>
      <c r="T308" s="1"/>
      <c r="U308" s="1"/>
      <c r="V308" s="1"/>
      <c r="W308" s="1"/>
      <c r="X308" s="5"/>
      <c r="Y308" s="5"/>
      <c r="Z308" s="1"/>
      <c r="AA308" s="1"/>
      <c r="AB308" s="1"/>
      <c r="AC308" s="4"/>
      <c r="AD308" s="5"/>
      <c r="AE308" s="4"/>
      <c r="AF308" s="5"/>
    </row>
    <row r="309" spans="17:32" ht="15" thickBot="1">
      <c r="Q309" s="1"/>
      <c r="R309" s="4"/>
      <c r="S309" s="1"/>
      <c r="T309" s="1"/>
      <c r="U309" s="1"/>
      <c r="V309" s="1"/>
      <c r="W309" s="1"/>
      <c r="X309" s="5"/>
      <c r="Y309" s="5"/>
      <c r="Z309" s="1"/>
      <c r="AA309" s="1"/>
      <c r="AB309" s="1"/>
      <c r="AC309" s="4"/>
      <c r="AD309" s="5"/>
      <c r="AE309" s="4"/>
      <c r="AF309" s="5"/>
    </row>
    <row r="310" spans="17:32" ht="15" thickBot="1">
      <c r="Q310" s="1"/>
      <c r="R310" s="4"/>
      <c r="S310" s="1"/>
      <c r="T310" s="1"/>
      <c r="U310" s="1"/>
      <c r="V310" s="1"/>
      <c r="W310" s="1"/>
      <c r="X310" s="5"/>
      <c r="Y310" s="5"/>
      <c r="Z310" s="1"/>
      <c r="AA310" s="1"/>
      <c r="AB310" s="1"/>
      <c r="AC310" s="4"/>
      <c r="AD310" s="5"/>
      <c r="AE310" s="4"/>
      <c r="AF310" s="5"/>
    </row>
    <row r="311" spans="17:32" ht="15" thickBot="1">
      <c r="Q311" s="1"/>
      <c r="R311" s="4"/>
      <c r="S311" s="1"/>
      <c r="T311" s="1"/>
      <c r="U311" s="1"/>
      <c r="V311" s="1"/>
      <c r="W311" s="1"/>
      <c r="X311" s="5"/>
      <c r="Y311" s="5"/>
      <c r="Z311" s="1"/>
      <c r="AA311" s="1"/>
      <c r="AB311" s="1"/>
      <c r="AC311" s="4"/>
      <c r="AD311" s="5"/>
      <c r="AE311" s="4"/>
      <c r="AF311" s="5"/>
    </row>
    <row r="312" spans="17:32" ht="15" thickBot="1">
      <c r="Q312" s="1"/>
      <c r="R312" s="4"/>
      <c r="S312" s="1"/>
      <c r="T312" s="1"/>
      <c r="U312" s="1"/>
      <c r="V312" s="1"/>
      <c r="W312" s="1"/>
      <c r="X312" s="5"/>
      <c r="Y312" s="5"/>
      <c r="Z312" s="1"/>
      <c r="AA312" s="1"/>
      <c r="AB312" s="1"/>
      <c r="AC312" s="4"/>
      <c r="AD312" s="5"/>
      <c r="AE312" s="4"/>
      <c r="AF312" s="5"/>
    </row>
    <row r="313" spans="17:32" ht="15" thickBot="1">
      <c r="Q313" s="1"/>
      <c r="R313" s="4"/>
      <c r="S313" s="1"/>
      <c r="T313" s="1"/>
      <c r="U313" s="1"/>
      <c r="V313" s="1"/>
      <c r="W313" s="1"/>
      <c r="X313" s="5"/>
      <c r="Y313" s="5"/>
      <c r="Z313" s="1"/>
      <c r="AA313" s="1"/>
      <c r="AB313" s="1"/>
      <c r="AC313" s="4"/>
      <c r="AD313" s="5"/>
      <c r="AE313" s="4"/>
      <c r="AF313" s="5"/>
    </row>
    <row r="314" spans="17:32" ht="15" thickBot="1">
      <c r="Q314" s="1"/>
      <c r="R314" s="4"/>
      <c r="S314" s="1"/>
      <c r="T314" s="1"/>
      <c r="U314" s="1"/>
      <c r="V314" s="1"/>
      <c r="W314" s="1"/>
      <c r="X314" s="5"/>
      <c r="Y314" s="5"/>
      <c r="Z314" s="1"/>
      <c r="AA314" s="1"/>
      <c r="AB314" s="1"/>
      <c r="AC314" s="4"/>
      <c r="AD314" s="5"/>
      <c r="AE314" s="4"/>
      <c r="AF314" s="5"/>
    </row>
    <row r="315" spans="17:32" ht="15" thickBot="1">
      <c r="Q315" s="1"/>
      <c r="R315" s="4"/>
      <c r="S315" s="1"/>
      <c r="T315" s="1"/>
      <c r="U315" s="1"/>
      <c r="V315" s="1"/>
      <c r="W315" s="1"/>
      <c r="X315" s="5"/>
      <c r="Y315" s="5"/>
      <c r="Z315" s="1"/>
      <c r="AA315" s="1"/>
      <c r="AB315" s="1"/>
      <c r="AC315" s="4"/>
      <c r="AD315" s="5"/>
      <c r="AE315" s="4"/>
      <c r="AF315" s="5"/>
    </row>
    <row r="316" spans="17:32" ht="15" thickBot="1">
      <c r="Q316" s="1"/>
      <c r="R316" s="4"/>
      <c r="S316" s="1"/>
      <c r="T316" s="1"/>
      <c r="U316" s="1"/>
      <c r="V316" s="1"/>
      <c r="W316" s="1"/>
      <c r="X316" s="5"/>
      <c r="Y316" s="5"/>
      <c r="Z316" s="1"/>
      <c r="AA316" s="1"/>
      <c r="AB316" s="1"/>
      <c r="AC316" s="4"/>
      <c r="AD316" s="5"/>
      <c r="AE316" s="4"/>
      <c r="AF316" s="5"/>
    </row>
    <row r="317" spans="17:32" ht="15" thickBot="1">
      <c r="Q317" s="1"/>
      <c r="R317" s="4"/>
      <c r="S317" s="1"/>
      <c r="T317" s="1"/>
      <c r="U317" s="1"/>
      <c r="V317" s="1"/>
      <c r="W317" s="1"/>
      <c r="X317" s="5"/>
      <c r="Y317" s="5"/>
      <c r="Z317" s="1"/>
      <c r="AA317" s="1"/>
      <c r="AB317" s="1"/>
      <c r="AC317" s="4"/>
      <c r="AD317" s="5"/>
      <c r="AE317" s="4"/>
      <c r="AF317" s="5"/>
    </row>
    <row r="318" spans="17:32" ht="15" thickBot="1">
      <c r="Q318" s="1"/>
      <c r="R318" s="4"/>
      <c r="S318" s="1"/>
      <c r="T318" s="1"/>
      <c r="U318" s="1"/>
      <c r="V318" s="1"/>
      <c r="W318" s="1"/>
      <c r="X318" s="5"/>
      <c r="Y318" s="5"/>
      <c r="Z318" s="1"/>
      <c r="AA318" s="1"/>
      <c r="AB318" s="1"/>
      <c r="AC318" s="4"/>
      <c r="AD318" s="5"/>
      <c r="AE318" s="4"/>
      <c r="AF318" s="5"/>
    </row>
    <row r="319" spans="17:32" ht="15" thickBot="1">
      <c r="Q319" s="1"/>
      <c r="R319" s="4"/>
      <c r="S319" s="1"/>
      <c r="T319" s="1"/>
      <c r="U319" s="1"/>
      <c r="V319" s="1"/>
      <c r="W319" s="1"/>
      <c r="X319" s="5"/>
      <c r="Y319" s="5"/>
      <c r="Z319" s="1"/>
      <c r="AA319" s="1"/>
      <c r="AB319" s="1"/>
      <c r="AC319" s="4"/>
      <c r="AD319" s="5"/>
      <c r="AE319" s="4"/>
      <c r="AF319" s="5"/>
    </row>
    <row r="320" spans="17:32" ht="15" thickBot="1">
      <c r="Q320" s="1"/>
      <c r="R320" s="4"/>
      <c r="S320" s="1"/>
      <c r="T320" s="1"/>
      <c r="U320" s="1"/>
      <c r="V320" s="1"/>
      <c r="W320" s="1"/>
      <c r="X320" s="5"/>
      <c r="Y320" s="5"/>
      <c r="Z320" s="1"/>
      <c r="AA320" s="1"/>
      <c r="AB320" s="1"/>
      <c r="AC320" s="4"/>
      <c r="AD320" s="5"/>
      <c r="AE320" s="4"/>
      <c r="AF320" s="5"/>
    </row>
    <row r="321" spans="17:32" ht="15" thickBot="1">
      <c r="Q321" s="1"/>
      <c r="R321" s="4"/>
      <c r="S321" s="1"/>
      <c r="T321" s="1"/>
      <c r="U321" s="1"/>
      <c r="V321" s="1"/>
      <c r="W321" s="1"/>
      <c r="X321" s="5"/>
      <c r="Y321" s="5"/>
      <c r="Z321" s="1"/>
      <c r="AA321" s="1"/>
      <c r="AB321" s="1"/>
      <c r="AC321" s="4"/>
      <c r="AD321" s="5"/>
      <c r="AE321" s="4"/>
      <c r="AF321" s="5"/>
    </row>
    <row r="322" spans="17:32" ht="15" thickBot="1">
      <c r="Q322" s="1"/>
      <c r="R322" s="4"/>
      <c r="S322" s="1"/>
      <c r="T322" s="1"/>
      <c r="U322" s="1"/>
      <c r="V322" s="1"/>
      <c r="W322" s="1"/>
      <c r="X322" s="5"/>
      <c r="Y322" s="5"/>
      <c r="Z322" s="1"/>
      <c r="AA322" s="1"/>
      <c r="AB322" s="1"/>
      <c r="AC322" s="4"/>
      <c r="AD322" s="5"/>
      <c r="AE322" s="4"/>
      <c r="AF322" s="5"/>
    </row>
    <row r="323" spans="17:32" ht="15" thickBot="1">
      <c r="Q323" s="1"/>
      <c r="R323" s="4"/>
      <c r="S323" s="1"/>
      <c r="T323" s="1"/>
      <c r="U323" s="1"/>
      <c r="V323" s="1"/>
      <c r="W323" s="1"/>
      <c r="X323" s="5"/>
      <c r="Y323" s="5"/>
      <c r="Z323" s="1"/>
      <c r="AA323" s="1"/>
      <c r="AB323" s="1"/>
      <c r="AC323" s="4"/>
      <c r="AD323" s="5"/>
      <c r="AE323" s="4"/>
      <c r="AF323" s="5"/>
    </row>
    <row r="324" spans="17:32" ht="15" thickBot="1">
      <c r="Q324" s="1"/>
      <c r="R324" s="4"/>
      <c r="S324" s="1"/>
      <c r="T324" s="1"/>
      <c r="U324" s="1"/>
      <c r="V324" s="1"/>
      <c r="W324" s="1"/>
      <c r="X324" s="5"/>
      <c r="Y324" s="5"/>
      <c r="Z324" s="1"/>
      <c r="AA324" s="1"/>
      <c r="AB324" s="1"/>
      <c r="AC324" s="4"/>
      <c r="AD324" s="5"/>
      <c r="AE324" s="4"/>
      <c r="AF324" s="5"/>
    </row>
    <row r="325" spans="17:32" ht="15" thickBot="1">
      <c r="Q325" s="1"/>
      <c r="R325" s="4"/>
      <c r="S325" s="1"/>
      <c r="T325" s="1"/>
      <c r="U325" s="1"/>
      <c r="V325" s="1"/>
      <c r="W325" s="1"/>
      <c r="X325" s="5"/>
      <c r="Y325" s="5"/>
      <c r="Z325" s="1"/>
      <c r="AA325" s="1"/>
      <c r="AB325" s="1"/>
      <c r="AC325" s="4"/>
      <c r="AD325" s="5"/>
      <c r="AE325" s="4"/>
      <c r="AF325" s="5"/>
    </row>
    <row r="326" spans="17:32" ht="15" thickBot="1">
      <c r="Q326" s="1"/>
      <c r="R326" s="4"/>
      <c r="S326" s="1"/>
      <c r="T326" s="1"/>
      <c r="U326" s="1"/>
      <c r="V326" s="1"/>
      <c r="W326" s="1"/>
      <c r="X326" s="5"/>
      <c r="Y326" s="5"/>
      <c r="Z326" s="1"/>
      <c r="AA326" s="1"/>
      <c r="AB326" s="1"/>
      <c r="AC326" s="4"/>
      <c r="AD326" s="5"/>
      <c r="AE326" s="4"/>
      <c r="AF326" s="5"/>
    </row>
    <row r="327" spans="17:32" ht="15" thickBot="1">
      <c r="Q327" s="1"/>
      <c r="R327" s="4"/>
      <c r="S327" s="1"/>
      <c r="T327" s="1"/>
      <c r="U327" s="1"/>
      <c r="V327" s="1"/>
      <c r="W327" s="1"/>
      <c r="X327" s="5"/>
      <c r="Y327" s="5"/>
      <c r="Z327" s="1"/>
      <c r="AA327" s="1"/>
      <c r="AB327" s="1"/>
      <c r="AC327" s="4"/>
      <c r="AD327" s="5"/>
      <c r="AE327" s="4"/>
      <c r="AF327" s="5"/>
    </row>
    <row r="328" spans="17:32" ht="15" thickBot="1">
      <c r="Q328" s="1"/>
      <c r="R328" s="4"/>
      <c r="S328" s="1"/>
      <c r="T328" s="1"/>
      <c r="U328" s="1"/>
      <c r="V328" s="1"/>
      <c r="W328" s="1"/>
      <c r="X328" s="5"/>
      <c r="Y328" s="5"/>
      <c r="Z328" s="1"/>
      <c r="AA328" s="1"/>
      <c r="AB328" s="1"/>
      <c r="AC328" s="4"/>
      <c r="AD328" s="5"/>
      <c r="AE328" s="4"/>
      <c r="AF328" s="5"/>
    </row>
    <row r="329" spans="17:32" ht="15" thickBot="1">
      <c r="Q329" s="1"/>
      <c r="R329" s="4"/>
      <c r="S329" s="1"/>
      <c r="T329" s="1"/>
      <c r="U329" s="1"/>
      <c r="V329" s="1"/>
      <c r="W329" s="1"/>
      <c r="X329" s="5"/>
      <c r="Y329" s="5"/>
      <c r="Z329" s="1"/>
      <c r="AA329" s="1"/>
      <c r="AB329" s="1"/>
      <c r="AC329" s="4"/>
      <c r="AD329" s="5"/>
      <c r="AE329" s="4"/>
      <c r="AF329" s="5"/>
    </row>
    <row r="330" spans="17:32" ht="15" thickBot="1">
      <c r="Q330" s="1"/>
      <c r="R330" s="4"/>
      <c r="S330" s="1"/>
      <c r="T330" s="1"/>
      <c r="U330" s="1"/>
      <c r="V330" s="1"/>
      <c r="W330" s="1"/>
      <c r="X330" s="5"/>
      <c r="Y330" s="5"/>
      <c r="Z330" s="1"/>
      <c r="AA330" s="1"/>
      <c r="AB330" s="1"/>
      <c r="AC330" s="4"/>
      <c r="AD330" s="5"/>
      <c r="AE330" s="4"/>
      <c r="AF330" s="5"/>
    </row>
    <row r="331" spans="17:32" ht="15" thickBot="1">
      <c r="Q331" s="1"/>
      <c r="R331" s="4"/>
      <c r="S331" s="1"/>
      <c r="T331" s="1"/>
      <c r="U331" s="1"/>
      <c r="V331" s="1"/>
      <c r="W331" s="1"/>
      <c r="X331" s="5"/>
      <c r="Y331" s="5"/>
      <c r="Z331" s="1"/>
      <c r="AA331" s="1"/>
      <c r="AB331" s="1"/>
      <c r="AC331" s="4"/>
      <c r="AD331" s="5"/>
      <c r="AE331" s="4"/>
      <c r="AF331" s="5"/>
    </row>
    <row r="332" spans="17:32" ht="15" thickBot="1">
      <c r="Q332" s="1"/>
      <c r="R332" s="4"/>
      <c r="S332" s="1"/>
      <c r="T332" s="1"/>
      <c r="U332" s="1"/>
      <c r="V332" s="1"/>
      <c r="W332" s="1"/>
      <c r="X332" s="5"/>
      <c r="Y332" s="5"/>
      <c r="Z332" s="1"/>
      <c r="AA332" s="1"/>
      <c r="AB332" s="1"/>
      <c r="AC332" s="4"/>
      <c r="AD332" s="5"/>
      <c r="AE332" s="4"/>
      <c r="AF332" s="5"/>
    </row>
    <row r="333" spans="17:32" ht="15" thickBot="1">
      <c r="Q333" s="1"/>
      <c r="R333" s="4"/>
      <c r="S333" s="1"/>
      <c r="T333" s="1"/>
      <c r="U333" s="1"/>
      <c r="V333" s="1"/>
      <c r="W333" s="1"/>
      <c r="X333" s="5"/>
      <c r="Y333" s="5"/>
      <c r="Z333" s="1"/>
      <c r="AA333" s="1"/>
      <c r="AB333" s="1"/>
      <c r="AC333" s="4"/>
      <c r="AD333" s="5"/>
      <c r="AE333" s="4"/>
      <c r="AF333" s="5"/>
    </row>
    <row r="334" spans="17:32" ht="15" thickBot="1">
      <c r="Q334" s="1"/>
      <c r="R334" s="4"/>
      <c r="S334" s="1"/>
      <c r="T334" s="1"/>
      <c r="U334" s="1"/>
      <c r="V334" s="1"/>
      <c r="W334" s="1"/>
      <c r="X334" s="5"/>
      <c r="Y334" s="5"/>
      <c r="Z334" s="1"/>
      <c r="AA334" s="1"/>
      <c r="AB334" s="1"/>
      <c r="AC334" s="4"/>
      <c r="AD334" s="5"/>
      <c r="AE334" s="4"/>
      <c r="AF334" s="5"/>
    </row>
    <row r="335" spans="17:32" ht="15" thickBot="1">
      <c r="Q335" s="1"/>
      <c r="R335" s="4"/>
      <c r="S335" s="1"/>
      <c r="T335" s="1"/>
      <c r="U335" s="1"/>
      <c r="V335" s="1"/>
      <c r="W335" s="1"/>
      <c r="X335" s="5"/>
      <c r="Y335" s="5"/>
      <c r="Z335" s="1"/>
      <c r="AA335" s="1"/>
      <c r="AB335" s="1"/>
      <c r="AC335" s="4"/>
      <c r="AD335" s="5"/>
      <c r="AE335" s="4"/>
      <c r="AF335" s="5"/>
    </row>
    <row r="336" spans="17:32" ht="15" thickBot="1">
      <c r="Q336" s="1"/>
      <c r="R336" s="4"/>
      <c r="S336" s="1"/>
      <c r="T336" s="1"/>
      <c r="U336" s="1"/>
      <c r="V336" s="1"/>
      <c r="W336" s="1"/>
      <c r="X336" s="5"/>
      <c r="Y336" s="5"/>
      <c r="Z336" s="1"/>
      <c r="AA336" s="1"/>
      <c r="AB336" s="1"/>
      <c r="AC336" s="4"/>
      <c r="AD336" s="5"/>
      <c r="AE336" s="4"/>
      <c r="AF336" s="5"/>
    </row>
    <row r="337" spans="17:32" ht="15" thickBot="1">
      <c r="Q337" s="1"/>
      <c r="R337" s="4"/>
      <c r="S337" s="1"/>
      <c r="T337" s="1"/>
      <c r="U337" s="1"/>
      <c r="V337" s="1"/>
      <c r="W337" s="1"/>
      <c r="X337" s="5"/>
      <c r="Y337" s="5"/>
      <c r="Z337" s="1"/>
      <c r="AA337" s="1"/>
      <c r="AB337" s="1"/>
      <c r="AC337" s="4"/>
      <c r="AD337" s="5"/>
      <c r="AE337" s="4"/>
      <c r="AF337" s="5"/>
    </row>
    <row r="338" spans="17:32" ht="15" thickBot="1">
      <c r="Q338" s="1"/>
      <c r="R338" s="4"/>
      <c r="S338" s="1"/>
      <c r="T338" s="1"/>
      <c r="U338" s="1"/>
      <c r="V338" s="1"/>
      <c r="W338" s="1"/>
      <c r="X338" s="5"/>
      <c r="Y338" s="5"/>
      <c r="Z338" s="1"/>
      <c r="AA338" s="1"/>
      <c r="AB338" s="1"/>
      <c r="AC338" s="4"/>
      <c r="AD338" s="5"/>
      <c r="AE338" s="4"/>
      <c r="AF338" s="5"/>
    </row>
    <row r="339" spans="17:32" ht="15" thickBot="1">
      <c r="Q339" s="1"/>
      <c r="R339" s="4"/>
      <c r="S339" s="1"/>
      <c r="T339" s="1"/>
      <c r="U339" s="1"/>
      <c r="V339" s="1"/>
      <c r="W339" s="1"/>
      <c r="X339" s="5"/>
      <c r="Y339" s="5"/>
      <c r="Z339" s="1"/>
      <c r="AA339" s="1"/>
      <c r="AB339" s="1"/>
      <c r="AC339" s="4"/>
      <c r="AD339" s="5"/>
      <c r="AE339" s="4"/>
      <c r="AF339" s="5"/>
    </row>
    <row r="340" spans="17:32" ht="15" thickBot="1">
      <c r="Q340" s="1"/>
      <c r="R340" s="4"/>
      <c r="S340" s="1"/>
      <c r="T340" s="1"/>
      <c r="U340" s="1"/>
      <c r="V340" s="1"/>
      <c r="W340" s="1"/>
      <c r="X340" s="5"/>
      <c r="Y340" s="5"/>
      <c r="Z340" s="1"/>
      <c r="AA340" s="1"/>
      <c r="AB340" s="1"/>
      <c r="AC340" s="4"/>
      <c r="AD340" s="5"/>
      <c r="AE340" s="4"/>
      <c r="AF340" s="5"/>
    </row>
    <row r="341" spans="17:32" ht="15" thickBot="1">
      <c r="Q341" s="1"/>
      <c r="R341" s="4"/>
      <c r="S341" s="1"/>
      <c r="T341" s="1"/>
      <c r="U341" s="1"/>
      <c r="V341" s="1"/>
      <c r="W341" s="1"/>
      <c r="X341" s="5"/>
      <c r="Y341" s="5"/>
      <c r="Z341" s="1"/>
      <c r="AA341" s="1"/>
      <c r="AB341" s="1"/>
      <c r="AC341" s="4"/>
      <c r="AD341" s="5"/>
      <c r="AE341" s="4"/>
      <c r="AF341" s="5"/>
    </row>
    <row r="342" spans="17:32" ht="15" thickBot="1">
      <c r="Q342" s="1"/>
      <c r="R342" s="4"/>
      <c r="S342" s="1"/>
      <c r="T342" s="1"/>
      <c r="U342" s="1"/>
      <c r="V342" s="1"/>
      <c r="W342" s="1"/>
      <c r="X342" s="5"/>
      <c r="Y342" s="5"/>
      <c r="Z342" s="1"/>
      <c r="AA342" s="1"/>
      <c r="AB342" s="1"/>
      <c r="AC342" s="4"/>
      <c r="AD342" s="5"/>
      <c r="AE342" s="4"/>
      <c r="AF342" s="5"/>
    </row>
    <row r="343" spans="17:32" ht="15" thickBot="1">
      <c r="Q343" s="1"/>
      <c r="R343" s="4"/>
      <c r="S343" s="1"/>
      <c r="T343" s="1"/>
      <c r="U343" s="1"/>
      <c r="V343" s="1"/>
      <c r="W343" s="1"/>
      <c r="X343" s="5"/>
      <c r="Y343" s="5"/>
      <c r="Z343" s="1"/>
      <c r="AA343" s="1"/>
      <c r="AB343" s="1"/>
      <c r="AC343" s="4"/>
      <c r="AD343" s="5"/>
      <c r="AE343" s="4"/>
      <c r="AF343" s="5"/>
    </row>
    <row r="344" spans="17:32" ht="15" thickBot="1">
      <c r="Q344" s="1"/>
      <c r="R344" s="4"/>
      <c r="S344" s="1"/>
      <c r="T344" s="1"/>
      <c r="U344" s="1"/>
      <c r="V344" s="1"/>
      <c r="W344" s="1"/>
      <c r="X344" s="5"/>
      <c r="Y344" s="5"/>
      <c r="Z344" s="1"/>
      <c r="AA344" s="1"/>
      <c r="AB344" s="1"/>
      <c r="AC344" s="4"/>
      <c r="AD344" s="5"/>
      <c r="AE344" s="4"/>
      <c r="AF344" s="5"/>
    </row>
    <row r="345" spans="17:32" ht="15" thickBot="1">
      <c r="Q345" s="1"/>
      <c r="R345" s="4"/>
      <c r="S345" s="1"/>
      <c r="T345" s="1"/>
      <c r="U345" s="1"/>
      <c r="V345" s="1"/>
      <c r="W345" s="1"/>
      <c r="X345" s="5"/>
      <c r="Y345" s="5"/>
      <c r="Z345" s="1"/>
      <c r="AA345" s="1"/>
      <c r="AB345" s="1"/>
      <c r="AC345" s="4"/>
      <c r="AD345" s="5"/>
      <c r="AE345" s="4"/>
      <c r="AF345" s="5"/>
    </row>
    <row r="346" spans="17:32" ht="15" thickBot="1">
      <c r="Q346" s="1"/>
      <c r="R346" s="4"/>
      <c r="S346" s="1"/>
      <c r="T346" s="1"/>
      <c r="U346" s="1"/>
      <c r="V346" s="1"/>
      <c r="W346" s="1"/>
      <c r="X346" s="5"/>
      <c r="Y346" s="5"/>
      <c r="Z346" s="1"/>
      <c r="AA346" s="1"/>
      <c r="AB346" s="1"/>
      <c r="AC346" s="4"/>
      <c r="AD346" s="5"/>
      <c r="AE346" s="4"/>
      <c r="AF346" s="5"/>
    </row>
    <row r="347" spans="17:32" ht="15" thickBot="1">
      <c r="Q347" s="1"/>
      <c r="R347" s="4"/>
      <c r="S347" s="1"/>
      <c r="T347" s="1"/>
      <c r="U347" s="1"/>
      <c r="V347" s="1"/>
      <c r="W347" s="1"/>
      <c r="X347" s="5"/>
      <c r="Y347" s="5"/>
      <c r="Z347" s="1"/>
      <c r="AA347" s="1"/>
      <c r="AB347" s="1"/>
      <c r="AC347" s="4"/>
      <c r="AD347" s="5"/>
      <c r="AE347" s="4"/>
      <c r="AF347" s="5"/>
    </row>
    <row r="348" spans="17:32" ht="15" thickBot="1">
      <c r="Q348" s="1"/>
      <c r="R348" s="4"/>
      <c r="S348" s="1"/>
      <c r="T348" s="1"/>
      <c r="U348" s="1"/>
      <c r="V348" s="1"/>
      <c r="W348" s="1"/>
      <c r="X348" s="5"/>
      <c r="Y348" s="5"/>
      <c r="Z348" s="1"/>
      <c r="AA348" s="1"/>
      <c r="AB348" s="1"/>
      <c r="AC348" s="4"/>
      <c r="AD348" s="5"/>
      <c r="AE348" s="4"/>
      <c r="AF348" s="5"/>
    </row>
    <row r="349" spans="17:32" ht="15" thickBot="1">
      <c r="Q349" s="1"/>
      <c r="R349" s="4"/>
      <c r="S349" s="1"/>
      <c r="T349" s="1"/>
      <c r="U349" s="1"/>
      <c r="V349" s="1"/>
      <c r="W349" s="1"/>
      <c r="X349" s="5"/>
      <c r="Y349" s="5"/>
      <c r="Z349" s="1"/>
      <c r="AA349" s="1"/>
      <c r="AB349" s="1"/>
      <c r="AC349" s="4"/>
      <c r="AD349" s="5"/>
      <c r="AE349" s="4"/>
      <c r="AF349" s="5"/>
    </row>
    <row r="350" spans="17:32" ht="15" thickBot="1">
      <c r="Q350" s="1"/>
      <c r="R350" s="4"/>
      <c r="S350" s="1"/>
      <c r="T350" s="1"/>
      <c r="U350" s="1"/>
      <c r="V350" s="1"/>
      <c r="W350" s="1"/>
      <c r="X350" s="5"/>
      <c r="Y350" s="5"/>
      <c r="Z350" s="1"/>
      <c r="AA350" s="1"/>
      <c r="AB350" s="1"/>
      <c r="AC350" s="4"/>
      <c r="AD350" s="5"/>
      <c r="AE350" s="4"/>
      <c r="AF350" s="5"/>
    </row>
    <row r="351" spans="17:32" ht="15" thickBot="1">
      <c r="Q351" s="1"/>
      <c r="R351" s="4"/>
      <c r="S351" s="1"/>
      <c r="T351" s="1"/>
      <c r="U351" s="1"/>
      <c r="V351" s="1"/>
      <c r="W351" s="1"/>
      <c r="X351" s="5"/>
      <c r="Y351" s="5"/>
      <c r="Z351" s="1"/>
      <c r="AA351" s="1"/>
      <c r="AB351" s="1"/>
      <c r="AC351" s="4"/>
      <c r="AD351" s="5"/>
      <c r="AE351" s="4"/>
      <c r="AF351" s="5"/>
    </row>
    <row r="352" spans="17:32" ht="15" thickBot="1">
      <c r="Q352" s="1"/>
      <c r="R352" s="4"/>
      <c r="S352" s="1"/>
      <c r="T352" s="1"/>
      <c r="U352" s="1"/>
      <c r="V352" s="1"/>
      <c r="W352" s="1"/>
      <c r="X352" s="5"/>
      <c r="Y352" s="5"/>
      <c r="Z352" s="1"/>
      <c r="AA352" s="1"/>
      <c r="AB352" s="1"/>
      <c r="AC352" s="4"/>
      <c r="AD352" s="5"/>
      <c r="AE352" s="4"/>
      <c r="AF352" s="5"/>
    </row>
    <row r="353" spans="17:32" ht="15" thickBot="1">
      <c r="Q353" s="1"/>
      <c r="R353" s="4"/>
      <c r="S353" s="1"/>
      <c r="T353" s="1"/>
      <c r="U353" s="1"/>
      <c r="V353" s="1"/>
      <c r="W353" s="1"/>
      <c r="X353" s="5"/>
      <c r="Y353" s="5"/>
      <c r="Z353" s="1"/>
      <c r="AA353" s="1"/>
      <c r="AB353" s="1"/>
      <c r="AC353" s="4"/>
      <c r="AD353" s="5"/>
      <c r="AE353" s="4"/>
      <c r="AF353" s="5"/>
    </row>
    <row r="354" spans="17:32" ht="15" thickBot="1">
      <c r="Q354" s="1"/>
      <c r="R354" s="4"/>
      <c r="S354" s="1"/>
      <c r="T354" s="1"/>
      <c r="U354" s="1"/>
      <c r="V354" s="1"/>
      <c r="W354" s="1"/>
      <c r="X354" s="5"/>
      <c r="Y354" s="5"/>
      <c r="Z354" s="1"/>
      <c r="AA354" s="1"/>
      <c r="AB354" s="1"/>
      <c r="AC354" s="4"/>
      <c r="AD354" s="5"/>
      <c r="AE354" s="4"/>
      <c r="AF354" s="5"/>
    </row>
    <row r="355" spans="17:32" ht="15" thickBot="1">
      <c r="Q355" s="1"/>
      <c r="R355" s="4"/>
      <c r="S355" s="1"/>
      <c r="T355" s="1"/>
      <c r="U355" s="1"/>
      <c r="V355" s="1"/>
      <c r="W355" s="1"/>
      <c r="X355" s="5"/>
      <c r="Y355" s="5"/>
      <c r="Z355" s="1"/>
      <c r="AA355" s="1"/>
      <c r="AB355" s="1"/>
      <c r="AC355" s="4"/>
      <c r="AD355" s="5"/>
      <c r="AE355" s="4"/>
      <c r="AF355" s="5"/>
    </row>
    <row r="356" spans="17:32" ht="15" thickBot="1">
      <c r="Q356" s="1"/>
      <c r="R356" s="4"/>
      <c r="S356" s="1"/>
      <c r="T356" s="1"/>
      <c r="U356" s="1"/>
      <c r="V356" s="1"/>
      <c r="W356" s="1"/>
      <c r="X356" s="5"/>
      <c r="Y356" s="5"/>
      <c r="Z356" s="1"/>
      <c r="AA356" s="1"/>
      <c r="AB356" s="1"/>
      <c r="AC356" s="4"/>
      <c r="AD356" s="5"/>
      <c r="AE356" s="4"/>
      <c r="AF356" s="5"/>
    </row>
    <row r="357" spans="17:32" ht="15" thickBot="1">
      <c r="Q357" s="1"/>
      <c r="R357" s="4"/>
      <c r="S357" s="1"/>
      <c r="T357" s="1"/>
      <c r="U357" s="1"/>
      <c r="V357" s="1"/>
      <c r="W357" s="1"/>
      <c r="X357" s="5"/>
      <c r="Y357" s="5"/>
      <c r="Z357" s="1"/>
      <c r="AA357" s="1"/>
      <c r="AB357" s="1"/>
      <c r="AC357" s="4"/>
      <c r="AD357" s="5"/>
      <c r="AE357" s="4"/>
      <c r="AF357" s="5"/>
    </row>
    <row r="358" spans="17:32" ht="15" thickBot="1">
      <c r="Q358" s="1"/>
      <c r="R358" s="4"/>
      <c r="S358" s="1"/>
      <c r="T358" s="1"/>
      <c r="U358" s="1"/>
      <c r="V358" s="1"/>
      <c r="W358" s="1"/>
      <c r="X358" s="5"/>
      <c r="Y358" s="5"/>
      <c r="Z358" s="1"/>
      <c r="AA358" s="1"/>
      <c r="AB358" s="1"/>
      <c r="AC358" s="4"/>
      <c r="AD358" s="5"/>
      <c r="AE358" s="4"/>
      <c r="AF358" s="5"/>
    </row>
    <row r="359" spans="17:32" ht="15" thickBot="1">
      <c r="Q359" s="1"/>
      <c r="R359" s="4"/>
      <c r="S359" s="1"/>
      <c r="T359" s="1"/>
      <c r="U359" s="1"/>
      <c r="V359" s="1"/>
      <c r="W359" s="1"/>
      <c r="X359" s="5"/>
      <c r="Y359" s="5"/>
      <c r="Z359" s="1"/>
      <c r="AA359" s="1"/>
      <c r="AB359" s="1"/>
      <c r="AC359" s="4"/>
      <c r="AD359" s="5"/>
      <c r="AE359" s="4"/>
      <c r="AF359" s="5"/>
    </row>
    <row r="360" spans="17:32" ht="15" thickBot="1">
      <c r="Q360" s="1"/>
      <c r="R360" s="4"/>
      <c r="S360" s="1"/>
      <c r="T360" s="1"/>
      <c r="U360" s="1"/>
      <c r="V360" s="1"/>
      <c r="W360" s="1"/>
      <c r="X360" s="5"/>
      <c r="Y360" s="5"/>
      <c r="Z360" s="1"/>
      <c r="AA360" s="1"/>
      <c r="AB360" s="1"/>
      <c r="AC360" s="4"/>
      <c r="AD360" s="5"/>
      <c r="AE360" s="4"/>
      <c r="AF360" s="5"/>
    </row>
    <row r="361" spans="17:32" ht="15" thickBot="1">
      <c r="Q361" s="1"/>
      <c r="R361" s="4"/>
      <c r="S361" s="1"/>
      <c r="T361" s="1"/>
      <c r="U361" s="1"/>
      <c r="V361" s="1"/>
      <c r="W361" s="1"/>
      <c r="X361" s="5"/>
      <c r="Y361" s="5"/>
      <c r="Z361" s="1"/>
      <c r="AA361" s="1"/>
      <c r="AB361" s="1"/>
      <c r="AC361" s="4"/>
      <c r="AD361" s="5"/>
      <c r="AE361" s="4"/>
      <c r="AF361" s="5"/>
    </row>
    <row r="362" spans="17:32" ht="15" thickBot="1">
      <c r="Q362" s="1"/>
      <c r="R362" s="4"/>
      <c r="S362" s="1"/>
      <c r="T362" s="1"/>
      <c r="U362" s="1"/>
      <c r="V362" s="1"/>
      <c r="W362" s="1"/>
      <c r="X362" s="5"/>
      <c r="Y362" s="5"/>
      <c r="Z362" s="1"/>
      <c r="AA362" s="1"/>
      <c r="AB362" s="1"/>
      <c r="AC362" s="4"/>
      <c r="AD362" s="5"/>
      <c r="AE362" s="4"/>
      <c r="AF362" s="5"/>
    </row>
    <row r="363" spans="17:32" ht="15" thickBot="1">
      <c r="Q363" s="1"/>
      <c r="R363" s="4"/>
      <c r="S363" s="1"/>
      <c r="T363" s="1"/>
      <c r="U363" s="1"/>
      <c r="V363" s="1"/>
      <c r="W363" s="1"/>
      <c r="X363" s="5"/>
      <c r="Y363" s="5"/>
      <c r="Z363" s="1"/>
      <c r="AA363" s="1"/>
      <c r="AB363" s="1"/>
      <c r="AC363" s="4"/>
      <c r="AD363" s="5"/>
      <c r="AE363" s="4"/>
      <c r="AF363" s="5"/>
    </row>
    <row r="364" spans="17:32" ht="15" thickBot="1">
      <c r="Q364" s="1"/>
      <c r="R364" s="4"/>
      <c r="S364" s="1"/>
      <c r="T364" s="1"/>
      <c r="U364" s="1"/>
      <c r="V364" s="1"/>
      <c r="W364" s="1"/>
      <c r="X364" s="5"/>
      <c r="Y364" s="5"/>
      <c r="Z364" s="1"/>
      <c r="AA364" s="1"/>
      <c r="AB364" s="1"/>
      <c r="AC364" s="4"/>
      <c r="AD364" s="5"/>
      <c r="AE364" s="4"/>
      <c r="AF364" s="5"/>
    </row>
    <row r="365" spans="17:32" ht="15" thickBot="1">
      <c r="Q365" s="1"/>
      <c r="R365" s="4"/>
      <c r="S365" s="1"/>
      <c r="T365" s="1"/>
      <c r="U365" s="1"/>
      <c r="V365" s="1"/>
      <c r="W365" s="1"/>
      <c r="X365" s="5"/>
      <c r="Y365" s="5"/>
      <c r="Z365" s="1"/>
      <c r="AA365" s="1"/>
      <c r="AB365" s="1"/>
      <c r="AC365" s="4"/>
      <c r="AD365" s="5"/>
      <c r="AE365" s="4"/>
      <c r="AF365" s="5"/>
    </row>
    <row r="366" spans="17:32" ht="15" thickBot="1">
      <c r="Q366" s="1"/>
      <c r="R366" s="4"/>
      <c r="S366" s="1"/>
      <c r="T366" s="1"/>
      <c r="U366" s="1"/>
      <c r="V366" s="1"/>
      <c r="W366" s="1"/>
      <c r="X366" s="5"/>
      <c r="Y366" s="5"/>
      <c r="Z366" s="1"/>
      <c r="AA366" s="1"/>
      <c r="AB366" s="1"/>
      <c r="AC366" s="4"/>
      <c r="AD366" s="5"/>
      <c r="AE366" s="4"/>
      <c r="AF366" s="5"/>
    </row>
    <row r="367" spans="17:32" ht="15" thickBot="1">
      <c r="Q367" s="1"/>
      <c r="R367" s="4"/>
      <c r="S367" s="1"/>
      <c r="T367" s="1"/>
      <c r="U367" s="1"/>
      <c r="V367" s="1"/>
      <c r="W367" s="1"/>
      <c r="X367" s="5"/>
      <c r="Y367" s="5"/>
      <c r="Z367" s="1"/>
      <c r="AA367" s="1"/>
      <c r="AB367" s="1"/>
      <c r="AC367" s="4"/>
      <c r="AD367" s="5"/>
      <c r="AE367" s="4"/>
      <c r="AF367" s="5"/>
    </row>
    <row r="368" spans="17:32" ht="15" thickBot="1">
      <c r="Q368" s="1"/>
      <c r="R368" s="4"/>
      <c r="S368" s="1"/>
      <c r="T368" s="1"/>
      <c r="U368" s="1"/>
      <c r="V368" s="1"/>
      <c r="W368" s="1"/>
      <c r="X368" s="5"/>
      <c r="Y368" s="5"/>
      <c r="Z368" s="1"/>
      <c r="AA368" s="1"/>
      <c r="AB368" s="1"/>
      <c r="AC368" s="4"/>
      <c r="AD368" s="5"/>
      <c r="AE368" s="4"/>
      <c r="AF368" s="5"/>
    </row>
    <row r="369" spans="17:32" ht="15" thickBot="1">
      <c r="Q369" s="1"/>
      <c r="R369" s="4"/>
      <c r="S369" s="1"/>
      <c r="T369" s="1"/>
      <c r="U369" s="1"/>
      <c r="V369" s="1"/>
      <c r="W369" s="1"/>
      <c r="X369" s="5"/>
      <c r="Y369" s="5"/>
      <c r="Z369" s="1"/>
      <c r="AA369" s="1"/>
      <c r="AB369" s="1"/>
      <c r="AC369" s="4"/>
      <c r="AD369" s="5"/>
      <c r="AE369" s="4"/>
      <c r="AF369" s="5"/>
    </row>
    <row r="370" spans="17:32" ht="15" thickBot="1">
      <c r="Q370" s="1"/>
      <c r="R370" s="4"/>
      <c r="S370" s="1"/>
      <c r="T370" s="1"/>
      <c r="U370" s="1"/>
      <c r="V370" s="1"/>
      <c r="W370" s="1"/>
      <c r="X370" s="5"/>
      <c r="Y370" s="5"/>
      <c r="Z370" s="1"/>
      <c r="AA370" s="1"/>
      <c r="AB370" s="1"/>
      <c r="AC370" s="4"/>
      <c r="AD370" s="5"/>
      <c r="AE370" s="4"/>
      <c r="AF370" s="5"/>
    </row>
    <row r="371" spans="17:32" ht="15" thickBot="1">
      <c r="Q371" s="1"/>
      <c r="R371" s="4"/>
      <c r="S371" s="1"/>
      <c r="T371" s="1"/>
      <c r="U371" s="1"/>
      <c r="V371" s="1"/>
      <c r="W371" s="1"/>
      <c r="X371" s="5"/>
      <c r="Y371" s="5"/>
      <c r="Z371" s="1"/>
      <c r="AA371" s="1"/>
      <c r="AB371" s="1"/>
      <c r="AC371" s="4"/>
      <c r="AD371" s="5"/>
      <c r="AE371" s="4"/>
      <c r="AF371" s="5"/>
    </row>
    <row r="372" spans="17:32" ht="15" thickBot="1">
      <c r="Q372" s="1"/>
      <c r="R372" s="4"/>
      <c r="S372" s="1"/>
      <c r="T372" s="1"/>
      <c r="U372" s="1"/>
      <c r="V372" s="1"/>
      <c r="W372" s="1"/>
      <c r="X372" s="5"/>
      <c r="Y372" s="5"/>
      <c r="Z372" s="1"/>
      <c r="AA372" s="1"/>
      <c r="AB372" s="1"/>
      <c r="AC372" s="4"/>
      <c r="AD372" s="5"/>
      <c r="AE372" s="4"/>
      <c r="AF372" s="5"/>
    </row>
    <row r="373" spans="17:32" ht="15" thickBot="1">
      <c r="Q373" s="1"/>
      <c r="R373" s="4"/>
      <c r="S373" s="1"/>
      <c r="T373" s="1"/>
      <c r="U373" s="1"/>
      <c r="V373" s="1"/>
      <c r="W373" s="1"/>
      <c r="X373" s="5"/>
      <c r="Y373" s="5"/>
      <c r="Z373" s="1"/>
      <c r="AA373" s="1"/>
      <c r="AB373" s="1"/>
      <c r="AC373" s="4"/>
      <c r="AD373" s="5"/>
      <c r="AE373" s="4"/>
      <c r="AF373" s="5"/>
    </row>
    <row r="374" spans="17:32" ht="15" thickBot="1">
      <c r="Q374" s="1"/>
      <c r="R374" s="4"/>
      <c r="S374" s="1"/>
      <c r="T374" s="1"/>
      <c r="U374" s="1"/>
      <c r="V374" s="1"/>
      <c r="W374" s="1"/>
      <c r="X374" s="5"/>
      <c r="Y374" s="5"/>
      <c r="Z374" s="1"/>
      <c r="AA374" s="1"/>
      <c r="AB374" s="1"/>
      <c r="AC374" s="4"/>
      <c r="AD374" s="5"/>
      <c r="AE374" s="4"/>
      <c r="AF374" s="5"/>
    </row>
    <row r="375" spans="17:32" ht="15" thickBot="1">
      <c r="Q375" s="1"/>
      <c r="R375" s="4"/>
      <c r="S375" s="1"/>
      <c r="T375" s="1"/>
      <c r="U375" s="1"/>
      <c r="V375" s="1"/>
      <c r="W375" s="1"/>
      <c r="X375" s="5"/>
      <c r="Y375" s="5"/>
      <c r="Z375" s="1"/>
      <c r="AA375" s="1"/>
      <c r="AB375" s="1"/>
      <c r="AC375" s="4"/>
      <c r="AD375" s="5"/>
      <c r="AE375" s="4"/>
      <c r="AF375" s="5"/>
    </row>
    <row r="376" spans="17:32" ht="15" thickBot="1">
      <c r="Q376" s="1"/>
      <c r="R376" s="4"/>
      <c r="S376" s="1"/>
      <c r="T376" s="1"/>
      <c r="U376" s="1"/>
      <c r="V376" s="1"/>
      <c r="W376" s="1"/>
      <c r="X376" s="5"/>
      <c r="Y376" s="5"/>
      <c r="Z376" s="1"/>
      <c r="AA376" s="1"/>
      <c r="AB376" s="1"/>
      <c r="AC376" s="4"/>
      <c r="AD376" s="5"/>
      <c r="AE376" s="4"/>
      <c r="AF376" s="5"/>
    </row>
    <row r="377" spans="17:32" ht="15" thickBot="1">
      <c r="Q377" s="1"/>
      <c r="R377" s="4"/>
      <c r="S377" s="1"/>
      <c r="T377" s="1"/>
      <c r="U377" s="1"/>
      <c r="V377" s="1"/>
      <c r="W377" s="1"/>
      <c r="X377" s="5"/>
      <c r="Y377" s="5"/>
      <c r="Z377" s="1"/>
      <c r="AA377" s="1"/>
      <c r="AB377" s="1"/>
      <c r="AC377" s="4"/>
      <c r="AD377" s="5"/>
      <c r="AE377" s="4"/>
      <c r="AF377" s="5"/>
    </row>
    <row r="378" spans="17:32" ht="15" thickBot="1">
      <c r="Q378" s="1"/>
      <c r="R378" s="4"/>
      <c r="S378" s="1"/>
      <c r="T378" s="1"/>
      <c r="U378" s="1"/>
      <c r="V378" s="1"/>
      <c r="W378" s="1"/>
      <c r="X378" s="5"/>
      <c r="Y378" s="5"/>
      <c r="Z378" s="1"/>
      <c r="AA378" s="1"/>
      <c r="AB378" s="1"/>
      <c r="AC378" s="4"/>
      <c r="AD378" s="5"/>
      <c r="AE378" s="4"/>
      <c r="AF378" s="5"/>
    </row>
    <row r="379" spans="17:32" ht="15" thickBot="1">
      <c r="Q379" s="1"/>
      <c r="R379" s="4"/>
      <c r="S379" s="1"/>
      <c r="T379" s="1"/>
      <c r="U379" s="1"/>
      <c r="V379" s="1"/>
      <c r="W379" s="1"/>
      <c r="X379" s="5"/>
      <c r="Y379" s="5"/>
      <c r="Z379" s="1"/>
      <c r="AA379" s="1"/>
      <c r="AB379" s="1"/>
      <c r="AC379" s="4"/>
      <c r="AD379" s="5"/>
      <c r="AE379" s="4"/>
      <c r="AF379" s="5"/>
    </row>
    <row r="380" spans="17:32" ht="15" thickBot="1">
      <c r="Q380" s="1"/>
      <c r="R380" s="4"/>
      <c r="S380" s="1"/>
      <c r="T380" s="1"/>
      <c r="U380" s="1"/>
      <c r="V380" s="1"/>
      <c r="W380" s="1"/>
      <c r="X380" s="5"/>
      <c r="Y380" s="5"/>
      <c r="Z380" s="1"/>
      <c r="AA380" s="1"/>
      <c r="AB380" s="1"/>
      <c r="AC380" s="4"/>
      <c r="AD380" s="5"/>
      <c r="AE380" s="4"/>
      <c r="AF380" s="5"/>
    </row>
    <row r="381" spans="17:32" ht="15" thickBot="1">
      <c r="Q381" s="1"/>
      <c r="R381" s="4"/>
      <c r="S381" s="1"/>
      <c r="T381" s="1"/>
      <c r="U381" s="1"/>
      <c r="V381" s="1"/>
      <c r="W381" s="1"/>
      <c r="X381" s="5"/>
      <c r="Y381" s="5"/>
      <c r="Z381" s="1"/>
      <c r="AA381" s="1"/>
      <c r="AB381" s="1"/>
      <c r="AC381" s="4"/>
      <c r="AD381" s="5"/>
      <c r="AE381" s="4"/>
      <c r="AF381" s="5"/>
    </row>
    <row r="382" spans="17:32" ht="15" thickBot="1">
      <c r="Q382" s="1"/>
      <c r="R382" s="4"/>
      <c r="S382" s="1"/>
      <c r="T382" s="1"/>
      <c r="U382" s="1"/>
      <c r="V382" s="1"/>
      <c r="W382" s="1"/>
      <c r="X382" s="5"/>
      <c r="Y382" s="5"/>
      <c r="Z382" s="1"/>
      <c r="AA382" s="1"/>
      <c r="AB382" s="1"/>
      <c r="AC382" s="4"/>
      <c r="AD382" s="5"/>
      <c r="AE382" s="4"/>
      <c r="AF382" s="5"/>
    </row>
    <row r="383" spans="17:32" ht="15" thickBot="1">
      <c r="Q383" s="1"/>
      <c r="R383" s="4"/>
      <c r="S383" s="1"/>
      <c r="T383" s="1"/>
      <c r="U383" s="1"/>
      <c r="V383" s="1"/>
      <c r="W383" s="1"/>
      <c r="X383" s="5"/>
      <c r="Y383" s="5"/>
      <c r="Z383" s="1"/>
      <c r="AA383" s="1"/>
      <c r="AB383" s="1"/>
      <c r="AC383" s="4"/>
      <c r="AD383" s="5"/>
      <c r="AE383" s="4"/>
      <c r="AF383" s="5"/>
    </row>
    <row r="384" spans="17:32" ht="15" thickBot="1">
      <c r="Q384" s="1"/>
      <c r="R384" s="4"/>
      <c r="S384" s="1"/>
      <c r="T384" s="1"/>
      <c r="U384" s="1"/>
      <c r="V384" s="1"/>
      <c r="W384" s="1"/>
      <c r="X384" s="5"/>
      <c r="Y384" s="5"/>
      <c r="Z384" s="1"/>
      <c r="AA384" s="1"/>
      <c r="AB384" s="1"/>
      <c r="AC384" s="4"/>
      <c r="AD384" s="5"/>
      <c r="AE384" s="4"/>
      <c r="AF384" s="5"/>
    </row>
    <row r="385" spans="17:32" ht="15" thickBot="1">
      <c r="Q385" s="1"/>
      <c r="R385" s="4"/>
      <c r="S385" s="1"/>
      <c r="T385" s="1"/>
      <c r="U385" s="1"/>
      <c r="V385" s="1"/>
      <c r="W385" s="1"/>
      <c r="X385" s="5"/>
      <c r="Y385" s="5"/>
      <c r="Z385" s="1"/>
      <c r="AA385" s="1"/>
      <c r="AB385" s="1"/>
      <c r="AC385" s="4"/>
      <c r="AD385" s="5"/>
      <c r="AE385" s="4"/>
      <c r="AF385" s="5"/>
    </row>
    <row r="386" spans="17:32" ht="15" thickBot="1">
      <c r="Q386" s="1"/>
      <c r="R386" s="4"/>
      <c r="S386" s="1"/>
      <c r="T386" s="1"/>
      <c r="U386" s="1"/>
      <c r="V386" s="1"/>
      <c r="W386" s="1"/>
      <c r="X386" s="5"/>
      <c r="Y386" s="5"/>
      <c r="Z386" s="1"/>
      <c r="AA386" s="1"/>
      <c r="AB386" s="1"/>
      <c r="AC386" s="4"/>
      <c r="AD386" s="5"/>
      <c r="AE386" s="4"/>
      <c r="AF386" s="5"/>
    </row>
    <row r="387" spans="17:32" ht="15" thickBot="1">
      <c r="Q387" s="1"/>
      <c r="R387" s="4"/>
      <c r="S387" s="1"/>
      <c r="T387" s="1"/>
      <c r="U387" s="1"/>
      <c r="V387" s="1"/>
      <c r="W387" s="1"/>
      <c r="X387" s="5"/>
      <c r="Y387" s="5"/>
      <c r="Z387" s="1"/>
      <c r="AA387" s="1"/>
      <c r="AB387" s="1"/>
      <c r="AC387" s="4"/>
      <c r="AD387" s="5"/>
      <c r="AE387" s="4"/>
      <c r="AF387" s="5"/>
    </row>
    <row r="388" spans="17:32" ht="15" thickBot="1">
      <c r="Q388" s="1"/>
      <c r="R388" s="4"/>
      <c r="S388" s="1"/>
      <c r="T388" s="1"/>
      <c r="U388" s="1"/>
      <c r="V388" s="1"/>
      <c r="W388" s="1"/>
      <c r="X388" s="5"/>
      <c r="Y388" s="5"/>
      <c r="Z388" s="1"/>
      <c r="AA388" s="1"/>
      <c r="AB388" s="1"/>
      <c r="AC388" s="4"/>
      <c r="AD388" s="5"/>
      <c r="AE388" s="4"/>
      <c r="AF388" s="5"/>
    </row>
    <row r="389" spans="17:32" ht="15" thickBot="1">
      <c r="Q389" s="1"/>
      <c r="R389" s="4"/>
      <c r="S389" s="1"/>
      <c r="T389" s="1"/>
      <c r="U389" s="1"/>
      <c r="V389" s="1"/>
      <c r="W389" s="1"/>
      <c r="X389" s="5"/>
      <c r="Y389" s="5"/>
      <c r="Z389" s="1"/>
      <c r="AA389" s="1"/>
      <c r="AB389" s="1"/>
      <c r="AC389" s="4"/>
      <c r="AD389" s="5"/>
      <c r="AE389" s="4"/>
      <c r="AF389" s="5"/>
    </row>
    <row r="390" spans="17:32" ht="15" thickBot="1">
      <c r="Q390" s="1"/>
      <c r="R390" s="4"/>
      <c r="S390" s="1"/>
      <c r="T390" s="1"/>
      <c r="U390" s="1"/>
      <c r="V390" s="1"/>
      <c r="W390" s="1"/>
      <c r="X390" s="5"/>
      <c r="Y390" s="5"/>
      <c r="Z390" s="1"/>
      <c r="AA390" s="1"/>
      <c r="AB390" s="1"/>
      <c r="AC390" s="4"/>
      <c r="AD390" s="5"/>
      <c r="AE390" s="4"/>
      <c r="AF390" s="5"/>
    </row>
    <row r="391" spans="17:32" ht="15" thickBot="1">
      <c r="Q391" s="1"/>
      <c r="R391" s="4"/>
      <c r="S391" s="1"/>
      <c r="T391" s="1"/>
      <c r="U391" s="1"/>
      <c r="V391" s="1"/>
      <c r="W391" s="1"/>
      <c r="X391" s="5"/>
      <c r="Y391" s="5"/>
      <c r="Z391" s="1"/>
      <c r="AA391" s="1"/>
      <c r="AB391" s="1"/>
      <c r="AC391" s="4"/>
      <c r="AD391" s="5"/>
      <c r="AE391" s="4"/>
      <c r="AF391" s="5"/>
    </row>
    <row r="392" spans="17:32" ht="15" thickBot="1">
      <c r="Q392" s="1"/>
      <c r="R392" s="4"/>
      <c r="S392" s="1"/>
      <c r="T392" s="1"/>
      <c r="U392" s="1"/>
      <c r="V392" s="1"/>
      <c r="W392" s="1"/>
      <c r="X392" s="5"/>
      <c r="Y392" s="5"/>
      <c r="Z392" s="1"/>
      <c r="AA392" s="1"/>
      <c r="AB392" s="1"/>
      <c r="AC392" s="4"/>
      <c r="AD392" s="5"/>
      <c r="AE392" s="4"/>
      <c r="AF392" s="5"/>
    </row>
    <row r="393" spans="17:32" ht="15" thickBot="1">
      <c r="Q393" s="1"/>
      <c r="R393" s="4"/>
      <c r="S393" s="1"/>
      <c r="T393" s="1"/>
      <c r="U393" s="1"/>
      <c r="V393" s="1"/>
      <c r="W393" s="1"/>
      <c r="X393" s="5"/>
      <c r="Y393" s="5"/>
      <c r="Z393" s="1"/>
      <c r="AA393" s="1"/>
      <c r="AB393" s="1"/>
      <c r="AC393" s="4"/>
      <c r="AD393" s="5"/>
      <c r="AE393" s="4"/>
      <c r="AF393" s="5"/>
    </row>
    <row r="394" spans="17:32" ht="15" thickBot="1">
      <c r="Q394" s="1"/>
      <c r="R394" s="4"/>
      <c r="S394" s="1"/>
      <c r="T394" s="1"/>
      <c r="U394" s="1"/>
      <c r="V394" s="1"/>
      <c r="W394" s="1"/>
      <c r="X394" s="5"/>
      <c r="Y394" s="5"/>
      <c r="Z394" s="1"/>
      <c r="AA394" s="1"/>
      <c r="AB394" s="1"/>
      <c r="AC394" s="4"/>
      <c r="AD394" s="5"/>
      <c r="AE394" s="4"/>
      <c r="AF394" s="5"/>
    </row>
    <row r="395" spans="17:32" ht="15" thickBot="1">
      <c r="Q395" s="1"/>
      <c r="R395" s="4"/>
      <c r="S395" s="1"/>
      <c r="T395" s="1"/>
      <c r="U395" s="1"/>
      <c r="V395" s="1"/>
      <c r="W395" s="1"/>
      <c r="X395" s="5"/>
      <c r="Y395" s="5"/>
      <c r="Z395" s="1"/>
      <c r="AA395" s="1"/>
      <c r="AB395" s="1"/>
      <c r="AC395" s="4"/>
      <c r="AD395" s="5"/>
      <c r="AE395" s="4"/>
      <c r="AF395" s="5"/>
    </row>
    <row r="396" spans="17:32" ht="15" thickBot="1">
      <c r="Q396" s="1"/>
      <c r="R396" s="4"/>
      <c r="S396" s="1"/>
      <c r="T396" s="1"/>
      <c r="U396" s="1"/>
      <c r="V396" s="1"/>
      <c r="W396" s="1"/>
      <c r="X396" s="5"/>
      <c r="Y396" s="5"/>
      <c r="Z396" s="1"/>
      <c r="AA396" s="1"/>
      <c r="AB396" s="1"/>
      <c r="AC396" s="4"/>
      <c r="AD396" s="5"/>
      <c r="AE396" s="4"/>
      <c r="AF396" s="5"/>
    </row>
    <row r="397" spans="17:32" ht="15" thickBot="1">
      <c r="Q397" s="1"/>
      <c r="R397" s="4"/>
      <c r="S397" s="1"/>
      <c r="T397" s="1"/>
      <c r="U397" s="1"/>
      <c r="V397" s="1"/>
      <c r="W397" s="1"/>
      <c r="X397" s="5"/>
      <c r="Y397" s="5"/>
      <c r="Z397" s="1"/>
      <c r="AA397" s="1"/>
      <c r="AB397" s="1"/>
      <c r="AC397" s="4"/>
      <c r="AD397" s="5"/>
      <c r="AE397" s="4"/>
      <c r="AF397" s="5"/>
    </row>
    <row r="398" spans="17:32" ht="15" thickBot="1">
      <c r="Q398" s="1"/>
      <c r="R398" s="4"/>
      <c r="S398" s="1"/>
      <c r="T398" s="1"/>
      <c r="U398" s="1"/>
      <c r="V398" s="1"/>
      <c r="W398" s="1"/>
      <c r="X398" s="5"/>
      <c r="Y398" s="5"/>
      <c r="Z398" s="1"/>
      <c r="AA398" s="1"/>
      <c r="AB398" s="1"/>
      <c r="AC398" s="4"/>
      <c r="AD398" s="5"/>
      <c r="AE398" s="4"/>
      <c r="AF398" s="5"/>
    </row>
    <row r="399" spans="17:32" ht="15" thickBot="1">
      <c r="Q399" s="1"/>
      <c r="R399" s="4"/>
      <c r="S399" s="1"/>
      <c r="T399" s="1"/>
      <c r="U399" s="1"/>
      <c r="V399" s="1"/>
      <c r="W399" s="1"/>
      <c r="X399" s="5"/>
      <c r="Y399" s="5"/>
      <c r="Z399" s="1"/>
      <c r="AA399" s="1"/>
      <c r="AB399" s="1"/>
      <c r="AC399" s="4"/>
      <c r="AD399" s="5"/>
      <c r="AE399" s="4"/>
      <c r="AF399" s="5"/>
    </row>
    <row r="400" spans="17:32" ht="15" thickBot="1">
      <c r="Q400" s="1"/>
      <c r="R400" s="4"/>
      <c r="S400" s="1"/>
      <c r="T400" s="1"/>
      <c r="U400" s="1"/>
      <c r="V400" s="1"/>
      <c r="W400" s="1"/>
      <c r="X400" s="5"/>
      <c r="Y400" s="5"/>
      <c r="Z400" s="1"/>
      <c r="AA400" s="1"/>
      <c r="AB400" s="1"/>
      <c r="AC400" s="4"/>
      <c r="AD400" s="5"/>
      <c r="AE400" s="4"/>
      <c r="AF400" s="5"/>
    </row>
    <row r="401" spans="17:32" ht="15" thickBot="1">
      <c r="Q401" s="1"/>
      <c r="R401" s="4"/>
      <c r="S401" s="1"/>
      <c r="T401" s="1"/>
      <c r="U401" s="1"/>
      <c r="V401" s="1"/>
      <c r="W401" s="1"/>
      <c r="X401" s="5"/>
      <c r="Y401" s="5"/>
      <c r="Z401" s="1"/>
      <c r="AA401" s="1"/>
      <c r="AB401" s="1"/>
      <c r="AC401" s="4"/>
      <c r="AD401" s="5"/>
      <c r="AE401" s="4"/>
      <c r="AF401" s="5"/>
    </row>
    <row r="402" spans="17:32" ht="15" thickBot="1">
      <c r="Q402" s="1"/>
      <c r="R402" s="4"/>
      <c r="S402" s="1"/>
      <c r="T402" s="1"/>
      <c r="U402" s="1"/>
      <c r="V402" s="1"/>
      <c r="W402" s="1"/>
      <c r="X402" s="5"/>
      <c r="Y402" s="5"/>
      <c r="Z402" s="1"/>
      <c r="AA402" s="1"/>
      <c r="AB402" s="1"/>
      <c r="AC402" s="4"/>
      <c r="AD402" s="5"/>
      <c r="AE402" s="4"/>
      <c r="AF402" s="5"/>
    </row>
    <row r="403" spans="17:32" ht="15" thickBot="1">
      <c r="Q403" s="1"/>
      <c r="R403" s="4"/>
      <c r="S403" s="1"/>
      <c r="T403" s="1"/>
      <c r="U403" s="1"/>
      <c r="V403" s="1"/>
      <c r="W403" s="1"/>
      <c r="X403" s="5"/>
      <c r="Y403" s="5"/>
      <c r="Z403" s="1"/>
      <c r="AA403" s="1"/>
      <c r="AB403" s="1"/>
      <c r="AC403" s="4"/>
      <c r="AD403" s="5"/>
      <c r="AE403" s="4"/>
      <c r="AF403" s="5"/>
    </row>
    <row r="404" spans="17:32" ht="15" thickBot="1">
      <c r="Q404" s="1"/>
      <c r="R404" s="4"/>
      <c r="S404" s="1"/>
      <c r="T404" s="1"/>
      <c r="U404" s="1"/>
      <c r="V404" s="1"/>
      <c r="W404" s="1"/>
      <c r="X404" s="5"/>
      <c r="Y404" s="5"/>
      <c r="Z404" s="1"/>
      <c r="AA404" s="1"/>
      <c r="AB404" s="1"/>
      <c r="AC404" s="4"/>
      <c r="AD404" s="5"/>
      <c r="AE404" s="4"/>
      <c r="AF404" s="5"/>
    </row>
    <row r="405" spans="17:32" ht="15" thickBot="1">
      <c r="Q405" s="1"/>
      <c r="R405" s="4"/>
      <c r="S405" s="1"/>
      <c r="T405" s="1"/>
      <c r="U405" s="1"/>
      <c r="V405" s="1"/>
      <c r="W405" s="1"/>
      <c r="X405" s="5"/>
      <c r="Y405" s="5"/>
      <c r="Z405" s="1"/>
      <c r="AA405" s="1"/>
      <c r="AB405" s="1"/>
      <c r="AC405" s="4"/>
      <c r="AD405" s="5"/>
      <c r="AE405" s="4"/>
      <c r="AF405" s="5"/>
    </row>
    <row r="406" spans="17:32" ht="15" thickBot="1">
      <c r="Q406" s="1"/>
      <c r="R406" s="4"/>
      <c r="S406" s="1"/>
      <c r="T406" s="1"/>
      <c r="U406" s="1"/>
      <c r="V406" s="1"/>
      <c r="W406" s="1"/>
      <c r="X406" s="5"/>
      <c r="Y406" s="5"/>
      <c r="Z406" s="1"/>
      <c r="AA406" s="1"/>
      <c r="AB406" s="1"/>
      <c r="AC406" s="4"/>
      <c r="AD406" s="5"/>
      <c r="AE406" s="4"/>
      <c r="AF406" s="5"/>
    </row>
    <row r="407" spans="17:32" ht="15" thickBot="1">
      <c r="Q407" s="1"/>
      <c r="R407" s="4"/>
      <c r="S407" s="1"/>
      <c r="T407" s="1"/>
      <c r="U407" s="1"/>
      <c r="V407" s="1"/>
      <c r="W407" s="1"/>
      <c r="X407" s="5"/>
      <c r="Y407" s="5"/>
      <c r="Z407" s="1"/>
      <c r="AA407" s="1"/>
      <c r="AB407" s="1"/>
      <c r="AC407" s="4"/>
      <c r="AD407" s="5"/>
      <c r="AE407" s="4"/>
      <c r="AF407" s="5"/>
    </row>
    <row r="408" spans="17:32" ht="15" thickBot="1">
      <c r="Q408" s="1"/>
      <c r="R408" s="4"/>
      <c r="S408" s="1"/>
      <c r="T408" s="1"/>
      <c r="U408" s="1"/>
      <c r="V408" s="1"/>
      <c r="W408" s="1"/>
      <c r="X408" s="5"/>
      <c r="Y408" s="5"/>
      <c r="Z408" s="1"/>
      <c r="AA408" s="1"/>
      <c r="AB408" s="1"/>
      <c r="AC408" s="4"/>
      <c r="AD408" s="5"/>
      <c r="AE408" s="4"/>
      <c r="AF408" s="5"/>
    </row>
    <row r="409" spans="17:32" ht="15" thickBot="1">
      <c r="Q409" s="1"/>
      <c r="R409" s="4"/>
      <c r="S409" s="1"/>
      <c r="T409" s="1"/>
      <c r="U409" s="1"/>
      <c r="V409" s="1"/>
      <c r="W409" s="1"/>
      <c r="X409" s="5"/>
      <c r="Y409" s="5"/>
      <c r="Z409" s="1"/>
      <c r="AA409" s="1"/>
      <c r="AB409" s="1"/>
      <c r="AC409" s="4"/>
      <c r="AD409" s="5"/>
      <c r="AE409" s="4"/>
      <c r="AF409" s="5"/>
    </row>
    <row r="410" spans="17:32" ht="15" thickBot="1">
      <c r="Q410" s="1"/>
      <c r="R410" s="4"/>
      <c r="S410" s="1"/>
      <c r="T410" s="1"/>
      <c r="U410" s="1"/>
      <c r="V410" s="1"/>
      <c r="W410" s="1"/>
      <c r="X410" s="5"/>
      <c r="Y410" s="5"/>
      <c r="Z410" s="1"/>
      <c r="AA410" s="1"/>
      <c r="AB410" s="1"/>
      <c r="AC410" s="4"/>
      <c r="AD410" s="5"/>
      <c r="AE410" s="4"/>
      <c r="AF410" s="5"/>
    </row>
    <row r="411" spans="17:32" ht="15" thickBot="1">
      <c r="Q411" s="1"/>
      <c r="R411" s="4"/>
      <c r="S411" s="1"/>
      <c r="T411" s="1"/>
      <c r="U411" s="1"/>
      <c r="V411" s="1"/>
      <c r="W411" s="1"/>
      <c r="X411" s="5"/>
      <c r="Y411" s="5"/>
      <c r="Z411" s="1"/>
      <c r="AA411" s="1"/>
      <c r="AB411" s="1"/>
      <c r="AC411" s="4"/>
      <c r="AD411" s="5"/>
      <c r="AE411" s="4"/>
      <c r="AF411" s="5"/>
    </row>
    <row r="412" spans="17:32" ht="15" thickBot="1">
      <c r="Q412" s="1"/>
      <c r="R412" s="4"/>
      <c r="S412" s="1"/>
      <c r="T412" s="1"/>
      <c r="U412" s="1"/>
      <c r="V412" s="1"/>
      <c r="W412" s="1"/>
      <c r="X412" s="5"/>
      <c r="Y412" s="5"/>
      <c r="Z412" s="1"/>
      <c r="AA412" s="1"/>
      <c r="AB412" s="1"/>
      <c r="AC412" s="4"/>
      <c r="AD412" s="5"/>
      <c r="AE412" s="4"/>
      <c r="AF412" s="5"/>
    </row>
    <row r="413" spans="17:32" ht="15" thickBot="1">
      <c r="Q413" s="1"/>
      <c r="R413" s="4"/>
      <c r="S413" s="1"/>
      <c r="T413" s="1"/>
      <c r="U413" s="1"/>
      <c r="V413" s="1"/>
      <c r="W413" s="1"/>
      <c r="X413" s="5"/>
      <c r="Y413" s="5"/>
      <c r="Z413" s="1"/>
      <c r="AA413" s="1"/>
      <c r="AB413" s="1"/>
      <c r="AC413" s="4"/>
      <c r="AD413" s="5"/>
      <c r="AE413" s="4"/>
      <c r="AF413" s="5"/>
    </row>
    <row r="414" spans="17:32" ht="15" thickBot="1">
      <c r="Q414" s="1"/>
      <c r="R414" s="4"/>
      <c r="S414" s="1"/>
      <c r="T414" s="1"/>
      <c r="U414" s="1"/>
      <c r="V414" s="1"/>
      <c r="W414" s="1"/>
      <c r="X414" s="5"/>
      <c r="Y414" s="5"/>
      <c r="Z414" s="1"/>
      <c r="AA414" s="1"/>
      <c r="AB414" s="1"/>
      <c r="AC414" s="4"/>
      <c r="AD414" s="5"/>
      <c r="AE414" s="4"/>
      <c r="AF414" s="5"/>
    </row>
    <row r="415" spans="17:32" ht="15" thickBot="1">
      <c r="Q415" s="1"/>
      <c r="R415" s="4"/>
      <c r="S415" s="1"/>
      <c r="T415" s="1"/>
      <c r="U415" s="1"/>
      <c r="V415" s="1"/>
      <c r="W415" s="1"/>
      <c r="X415" s="5"/>
      <c r="Y415" s="5"/>
      <c r="Z415" s="1"/>
      <c r="AA415" s="1"/>
      <c r="AB415" s="1"/>
      <c r="AC415" s="4"/>
      <c r="AD415" s="5"/>
      <c r="AE415" s="4"/>
      <c r="AF415" s="5"/>
    </row>
    <row r="416" spans="17:32" ht="15" thickBot="1">
      <c r="Q416" s="1"/>
      <c r="R416" s="4"/>
      <c r="S416" s="1"/>
      <c r="T416" s="1"/>
      <c r="U416" s="1"/>
      <c r="V416" s="1"/>
      <c r="W416" s="1"/>
      <c r="X416" s="5"/>
      <c r="Y416" s="5"/>
      <c r="Z416" s="1"/>
      <c r="AA416" s="1"/>
      <c r="AB416" s="1"/>
      <c r="AC416" s="4"/>
      <c r="AD416" s="5"/>
      <c r="AE416" s="4"/>
      <c r="AF416" s="5"/>
    </row>
    <row r="417" spans="17:32" ht="15" thickBot="1">
      <c r="Q417" s="1"/>
      <c r="R417" s="4"/>
      <c r="S417" s="1"/>
      <c r="T417" s="1"/>
      <c r="U417" s="1"/>
      <c r="V417" s="1"/>
      <c r="W417" s="1"/>
      <c r="X417" s="5"/>
      <c r="Y417" s="5"/>
      <c r="Z417" s="1"/>
      <c r="AA417" s="1"/>
      <c r="AB417" s="1"/>
      <c r="AC417" s="4"/>
      <c r="AD417" s="5"/>
      <c r="AE417" s="4"/>
      <c r="AF417" s="5"/>
    </row>
    <row r="418" spans="17:32" ht="15" thickBot="1">
      <c r="Q418" s="1"/>
      <c r="R418" s="4"/>
      <c r="S418" s="1"/>
      <c r="T418" s="1"/>
      <c r="U418" s="1"/>
      <c r="V418" s="1"/>
      <c r="W418" s="1"/>
      <c r="X418" s="5"/>
      <c r="Y418" s="5"/>
      <c r="Z418" s="1"/>
      <c r="AA418" s="1"/>
      <c r="AB418" s="1"/>
      <c r="AC418" s="4"/>
      <c r="AD418" s="5"/>
      <c r="AE418" s="4"/>
      <c r="AF418" s="5"/>
    </row>
    <row r="419" spans="17:32" ht="15" thickBot="1">
      <c r="Q419" s="1"/>
      <c r="R419" s="4"/>
      <c r="S419" s="1"/>
      <c r="T419" s="1"/>
      <c r="U419" s="1"/>
      <c r="V419" s="1"/>
      <c r="W419" s="1"/>
      <c r="X419" s="5"/>
      <c r="Y419" s="5"/>
      <c r="Z419" s="1"/>
      <c r="AA419" s="1"/>
      <c r="AB419" s="1"/>
      <c r="AC419" s="4"/>
      <c r="AD419" s="5"/>
      <c r="AE419" s="4"/>
      <c r="AF419" s="5"/>
    </row>
    <row r="420" spans="17:32" ht="15" thickBot="1">
      <c r="Q420" s="1"/>
      <c r="R420" s="4"/>
      <c r="S420" s="1"/>
      <c r="T420" s="1"/>
      <c r="U420" s="1"/>
      <c r="V420" s="1"/>
      <c r="W420" s="1"/>
      <c r="X420" s="5"/>
      <c r="Y420" s="5"/>
      <c r="Z420" s="1"/>
      <c r="AA420" s="1"/>
      <c r="AB420" s="1"/>
      <c r="AC420" s="4"/>
      <c r="AD420" s="5"/>
      <c r="AE420" s="4"/>
      <c r="AF420" s="5"/>
    </row>
    <row r="421" spans="17:32" ht="15" thickBot="1">
      <c r="Q421" s="1"/>
      <c r="R421" s="4"/>
      <c r="S421" s="1"/>
      <c r="T421" s="1"/>
      <c r="U421" s="1"/>
      <c r="V421" s="1"/>
      <c r="W421" s="1"/>
      <c r="X421" s="5"/>
      <c r="Y421" s="5"/>
      <c r="Z421" s="1"/>
      <c r="AA421" s="1"/>
      <c r="AB421" s="1"/>
      <c r="AC421" s="4"/>
      <c r="AD421" s="5"/>
      <c r="AE421" s="4"/>
      <c r="AF421" s="5"/>
    </row>
    <row r="422" spans="17:32" ht="15" thickBot="1">
      <c r="Q422" s="1"/>
      <c r="R422" s="4"/>
      <c r="S422" s="1"/>
      <c r="T422" s="1"/>
      <c r="U422" s="1"/>
      <c r="V422" s="1"/>
      <c r="W422" s="1"/>
      <c r="X422" s="5"/>
      <c r="Y422" s="5"/>
      <c r="Z422" s="1"/>
      <c r="AA422" s="1"/>
      <c r="AB422" s="1"/>
      <c r="AC422" s="4"/>
      <c r="AD422" s="5"/>
      <c r="AE422" s="4"/>
      <c r="AF422" s="5"/>
    </row>
    <row r="423" spans="17:32" ht="15" thickBot="1">
      <c r="Q423" s="1"/>
      <c r="R423" s="4"/>
      <c r="S423" s="1"/>
      <c r="T423" s="1"/>
      <c r="U423" s="1"/>
      <c r="V423" s="1"/>
      <c r="W423" s="1"/>
      <c r="X423" s="5"/>
      <c r="Y423" s="5"/>
      <c r="Z423" s="1"/>
      <c r="AA423" s="1"/>
      <c r="AB423" s="1"/>
      <c r="AC423" s="4"/>
      <c r="AD423" s="5"/>
      <c r="AE423" s="4"/>
      <c r="AF423" s="5"/>
    </row>
    <row r="424" spans="17:32" ht="15" thickBot="1">
      <c r="Q424" s="1"/>
      <c r="R424" s="4"/>
      <c r="S424" s="1"/>
      <c r="T424" s="1"/>
      <c r="U424" s="1"/>
      <c r="V424" s="1"/>
      <c r="W424" s="1"/>
      <c r="X424" s="5"/>
      <c r="Y424" s="5"/>
      <c r="Z424" s="1"/>
      <c r="AA424" s="1"/>
      <c r="AB424" s="1"/>
      <c r="AC424" s="4"/>
      <c r="AD424" s="5"/>
      <c r="AE424" s="4"/>
      <c r="AF424" s="5"/>
    </row>
    <row r="425" spans="17:32" ht="15" thickBot="1">
      <c r="Q425" s="1"/>
      <c r="R425" s="4"/>
      <c r="S425" s="1"/>
      <c r="T425" s="1"/>
      <c r="U425" s="1"/>
      <c r="V425" s="1"/>
      <c r="W425" s="1"/>
      <c r="X425" s="5"/>
      <c r="Y425" s="5"/>
      <c r="Z425" s="1"/>
      <c r="AA425" s="1"/>
      <c r="AB425" s="1"/>
      <c r="AC425" s="4"/>
      <c r="AD425" s="5"/>
      <c r="AE425" s="4"/>
      <c r="AF425" s="5"/>
    </row>
    <row r="426" spans="17:32" ht="15" thickBot="1">
      <c r="Q426" s="1"/>
      <c r="R426" s="4"/>
      <c r="S426" s="1"/>
      <c r="T426" s="1"/>
      <c r="U426" s="1"/>
      <c r="V426" s="1"/>
      <c r="W426" s="1"/>
      <c r="X426" s="5"/>
      <c r="Y426" s="5"/>
      <c r="Z426" s="1"/>
      <c r="AA426" s="1"/>
      <c r="AB426" s="1"/>
      <c r="AC426" s="4"/>
      <c r="AD426" s="5"/>
      <c r="AE426" s="4"/>
      <c r="AF426" s="5"/>
    </row>
    <row r="427" spans="17:32" ht="15" thickBot="1">
      <c r="Q427" s="1"/>
      <c r="R427" s="4"/>
      <c r="S427" s="1"/>
      <c r="T427" s="1"/>
      <c r="U427" s="1"/>
      <c r="V427" s="1"/>
      <c r="W427" s="1"/>
      <c r="X427" s="5"/>
      <c r="Y427" s="5"/>
      <c r="Z427" s="1"/>
      <c r="AA427" s="1"/>
      <c r="AB427" s="1"/>
      <c r="AC427" s="4"/>
      <c r="AD427" s="5"/>
      <c r="AE427" s="4"/>
      <c r="AF427" s="5"/>
    </row>
    <row r="428" spans="17:32" ht="15" thickBot="1">
      <c r="Q428" s="1"/>
      <c r="R428" s="4"/>
      <c r="S428" s="1"/>
      <c r="T428" s="1"/>
      <c r="U428" s="1"/>
      <c r="V428" s="1"/>
      <c r="W428" s="1"/>
      <c r="X428" s="5"/>
      <c r="Y428" s="5"/>
      <c r="Z428" s="1"/>
      <c r="AA428" s="1"/>
      <c r="AB428" s="1"/>
      <c r="AC428" s="4"/>
      <c r="AD428" s="5"/>
      <c r="AE428" s="4"/>
      <c r="AF428" s="5"/>
    </row>
    <row r="429" spans="17:32" ht="15" thickBot="1">
      <c r="Q429" s="1"/>
      <c r="R429" s="4"/>
      <c r="S429" s="1"/>
      <c r="T429" s="1"/>
      <c r="U429" s="1"/>
      <c r="V429" s="1"/>
      <c r="W429" s="1"/>
      <c r="X429" s="5"/>
      <c r="Y429" s="5"/>
      <c r="Z429" s="1"/>
      <c r="AA429" s="1"/>
      <c r="AB429" s="1"/>
      <c r="AC429" s="4"/>
      <c r="AD429" s="5"/>
      <c r="AE429" s="4"/>
      <c r="AF429" s="5"/>
    </row>
    <row r="430" spans="17:32" ht="15" thickBot="1">
      <c r="Q430" s="1"/>
      <c r="R430" s="4"/>
      <c r="S430" s="1"/>
      <c r="T430" s="1"/>
      <c r="U430" s="1"/>
      <c r="V430" s="1"/>
      <c r="W430" s="1"/>
      <c r="X430" s="5"/>
      <c r="Y430" s="5"/>
      <c r="Z430" s="1"/>
      <c r="AA430" s="1"/>
      <c r="AB430" s="1"/>
      <c r="AC430" s="4"/>
      <c r="AD430" s="5"/>
      <c r="AE430" s="4"/>
      <c r="AF430" s="5"/>
    </row>
    <row r="431" spans="17:32" ht="15" thickBot="1">
      <c r="Q431" s="1"/>
      <c r="R431" s="4"/>
      <c r="S431" s="1"/>
      <c r="T431" s="1"/>
      <c r="U431" s="1"/>
      <c r="V431" s="1"/>
      <c r="W431" s="1"/>
      <c r="X431" s="5"/>
      <c r="Y431" s="5"/>
      <c r="Z431" s="1"/>
      <c r="AA431" s="1"/>
      <c r="AB431" s="1"/>
      <c r="AC431" s="4"/>
      <c r="AD431" s="5"/>
      <c r="AE431" s="4"/>
      <c r="AF431" s="5"/>
    </row>
    <row r="432" spans="17:32" ht="15" thickBot="1">
      <c r="Q432" s="1"/>
      <c r="R432" s="4"/>
      <c r="S432" s="1"/>
      <c r="T432" s="1"/>
      <c r="U432" s="1"/>
      <c r="V432" s="1"/>
      <c r="W432" s="1"/>
      <c r="X432" s="5"/>
      <c r="Y432" s="5"/>
      <c r="Z432" s="1"/>
      <c r="AA432" s="1"/>
      <c r="AB432" s="1"/>
      <c r="AC432" s="4"/>
      <c r="AD432" s="5"/>
      <c r="AE432" s="4"/>
      <c r="AF432" s="5"/>
    </row>
    <row r="433" spans="17:32" ht="15" thickBot="1">
      <c r="Q433" s="1"/>
      <c r="R433" s="4"/>
      <c r="S433" s="1"/>
      <c r="T433" s="1"/>
      <c r="U433" s="1"/>
      <c r="V433" s="1"/>
      <c r="W433" s="1"/>
      <c r="X433" s="5"/>
      <c r="Y433" s="5"/>
      <c r="Z433" s="1"/>
      <c r="AA433" s="1"/>
      <c r="AB433" s="1"/>
      <c r="AC433" s="4"/>
      <c r="AD433" s="5"/>
      <c r="AE433" s="4"/>
      <c r="AF433" s="5"/>
    </row>
    <row r="434" spans="17:32" ht="15" thickBot="1">
      <c r="Q434" s="1"/>
      <c r="R434" s="4"/>
      <c r="S434" s="1"/>
      <c r="T434" s="1"/>
      <c r="U434" s="1"/>
      <c r="V434" s="1"/>
      <c r="W434" s="1"/>
      <c r="X434" s="5"/>
      <c r="Y434" s="5"/>
      <c r="Z434" s="1"/>
      <c r="AA434" s="1"/>
      <c r="AB434" s="1"/>
      <c r="AC434" s="4"/>
      <c r="AD434" s="5"/>
      <c r="AE434" s="4"/>
      <c r="AF434" s="5"/>
    </row>
    <row r="435" spans="17:32" ht="15" thickBot="1">
      <c r="Q435" s="1"/>
      <c r="R435" s="4"/>
      <c r="S435" s="1"/>
      <c r="T435" s="1"/>
      <c r="U435" s="1"/>
      <c r="V435" s="1"/>
      <c r="W435" s="1"/>
      <c r="X435" s="5"/>
      <c r="Y435" s="5"/>
      <c r="Z435" s="1"/>
      <c r="AA435" s="1"/>
      <c r="AB435" s="1"/>
      <c r="AC435" s="4"/>
      <c r="AD435" s="5"/>
      <c r="AE435" s="4"/>
      <c r="AF435" s="5"/>
    </row>
    <row r="436" spans="17:32" ht="15" thickBot="1">
      <c r="Q436" s="1"/>
      <c r="R436" s="4"/>
      <c r="S436" s="1"/>
      <c r="T436" s="1"/>
      <c r="U436" s="1"/>
      <c r="V436" s="1"/>
      <c r="W436" s="1"/>
      <c r="X436" s="5"/>
      <c r="Y436" s="5"/>
      <c r="Z436" s="1"/>
      <c r="AA436" s="1"/>
      <c r="AB436" s="1"/>
      <c r="AC436" s="4"/>
      <c r="AD436" s="5"/>
      <c r="AE436" s="4"/>
      <c r="AF436" s="5"/>
    </row>
    <row r="437" spans="17:32" ht="15" thickBot="1">
      <c r="Q437" s="1"/>
      <c r="R437" s="4"/>
      <c r="S437" s="1"/>
      <c r="T437" s="1"/>
      <c r="U437" s="1"/>
      <c r="V437" s="1"/>
      <c r="W437" s="1"/>
      <c r="X437" s="5"/>
      <c r="Y437" s="5"/>
      <c r="Z437" s="1"/>
      <c r="AA437" s="1"/>
      <c r="AB437" s="1"/>
      <c r="AC437" s="4"/>
      <c r="AD437" s="5"/>
      <c r="AE437" s="4"/>
      <c r="AF437" s="5"/>
    </row>
    <row r="438" spans="17:32" ht="15" thickBot="1">
      <c r="Q438" s="1"/>
      <c r="R438" s="4"/>
      <c r="S438" s="1"/>
      <c r="T438" s="1"/>
      <c r="U438" s="1"/>
      <c r="V438" s="1"/>
      <c r="W438" s="1"/>
      <c r="X438" s="5"/>
      <c r="Y438" s="5"/>
      <c r="Z438" s="1"/>
      <c r="AA438" s="1"/>
      <c r="AB438" s="1"/>
      <c r="AC438" s="4"/>
      <c r="AD438" s="5"/>
      <c r="AE438" s="4"/>
      <c r="AF438" s="5"/>
    </row>
    <row r="439" spans="17:32" ht="15" thickBot="1">
      <c r="Q439" s="1"/>
      <c r="R439" s="4"/>
      <c r="S439" s="1"/>
      <c r="T439" s="1"/>
      <c r="U439" s="1"/>
      <c r="V439" s="1"/>
      <c r="W439" s="1"/>
      <c r="X439" s="5"/>
      <c r="Y439" s="5"/>
      <c r="Z439" s="1"/>
      <c r="AA439" s="1"/>
      <c r="AB439" s="1"/>
      <c r="AC439" s="4"/>
      <c r="AD439" s="5"/>
      <c r="AE439" s="4"/>
      <c r="AF439" s="5"/>
    </row>
    <row r="440" spans="17:32" ht="15" thickBot="1">
      <c r="Q440" s="1"/>
      <c r="R440" s="4"/>
      <c r="S440" s="1"/>
      <c r="T440" s="1"/>
      <c r="U440" s="1"/>
      <c r="V440" s="1"/>
      <c r="W440" s="1"/>
      <c r="X440" s="5"/>
      <c r="Y440" s="5"/>
      <c r="Z440" s="1"/>
      <c r="AA440" s="1"/>
      <c r="AB440" s="1"/>
      <c r="AC440" s="4"/>
      <c r="AD440" s="5"/>
      <c r="AE440" s="4"/>
      <c r="AF440" s="5"/>
    </row>
    <row r="441" spans="17:32" ht="15" thickBot="1">
      <c r="Q441" s="1"/>
      <c r="R441" s="4"/>
      <c r="S441" s="1"/>
      <c r="T441" s="1"/>
      <c r="U441" s="1"/>
      <c r="V441" s="1"/>
      <c r="W441" s="1"/>
      <c r="X441" s="5"/>
      <c r="Y441" s="5"/>
      <c r="Z441" s="1"/>
      <c r="AA441" s="1"/>
      <c r="AB441" s="1"/>
      <c r="AC441" s="4"/>
      <c r="AD441" s="5"/>
      <c r="AE441" s="4"/>
      <c r="AF441" s="5"/>
    </row>
    <row r="442" spans="17:32" ht="15" thickBot="1">
      <c r="Q442" s="1"/>
      <c r="R442" s="4"/>
      <c r="S442" s="1"/>
      <c r="T442" s="1"/>
      <c r="U442" s="1"/>
      <c r="V442" s="1"/>
      <c r="W442" s="1"/>
      <c r="X442" s="5"/>
      <c r="Y442" s="5"/>
      <c r="Z442" s="1"/>
      <c r="AA442" s="1"/>
      <c r="AB442" s="1"/>
      <c r="AC442" s="4"/>
      <c r="AD442" s="5"/>
      <c r="AE442" s="4"/>
      <c r="AF442" s="5"/>
    </row>
    <row r="443" spans="17:32" ht="15" thickBot="1">
      <c r="Q443" s="1"/>
      <c r="R443" s="4"/>
      <c r="S443" s="1"/>
      <c r="T443" s="1"/>
      <c r="U443" s="1"/>
      <c r="V443" s="1"/>
      <c r="W443" s="1"/>
      <c r="X443" s="5"/>
      <c r="Y443" s="5"/>
      <c r="Z443" s="1"/>
      <c r="AA443" s="1"/>
      <c r="AB443" s="1"/>
      <c r="AC443" s="4"/>
      <c r="AD443" s="5"/>
      <c r="AE443" s="4"/>
      <c r="AF443" s="5"/>
    </row>
    <row r="444" spans="17:32" ht="15" thickBot="1">
      <c r="Q444" s="1"/>
      <c r="R444" s="4"/>
      <c r="S444" s="1"/>
      <c r="T444" s="1"/>
      <c r="U444" s="1"/>
      <c r="V444" s="1"/>
      <c r="W444" s="1"/>
      <c r="X444" s="5"/>
      <c r="Y444" s="5"/>
      <c r="Z444" s="1"/>
      <c r="AA444" s="1"/>
      <c r="AB444" s="1"/>
      <c r="AC444" s="4"/>
      <c r="AD444" s="5"/>
      <c r="AE444" s="4"/>
      <c r="AF444" s="5"/>
    </row>
    <row r="445" spans="17:32" ht="15" thickBot="1">
      <c r="Q445" s="1"/>
      <c r="R445" s="4"/>
      <c r="S445" s="1"/>
      <c r="T445" s="1"/>
      <c r="U445" s="1"/>
      <c r="V445" s="1"/>
      <c r="W445" s="1"/>
      <c r="X445" s="5"/>
      <c r="Y445" s="5"/>
      <c r="Z445" s="1"/>
      <c r="AA445" s="1"/>
      <c r="AB445" s="1"/>
      <c r="AC445" s="4"/>
      <c r="AD445" s="5"/>
      <c r="AE445" s="4"/>
      <c r="AF445" s="5"/>
    </row>
    <row r="446" spans="17:32" ht="15" thickBot="1">
      <c r="Q446" s="1"/>
      <c r="R446" s="4"/>
      <c r="S446" s="1"/>
      <c r="T446" s="1"/>
      <c r="U446" s="1"/>
      <c r="V446" s="1"/>
      <c r="W446" s="1"/>
      <c r="X446" s="5"/>
      <c r="Y446" s="5"/>
      <c r="Z446" s="1"/>
      <c r="AA446" s="1"/>
      <c r="AB446" s="1"/>
      <c r="AC446" s="4"/>
      <c r="AD446" s="5"/>
      <c r="AE446" s="4"/>
      <c r="AF446" s="5"/>
    </row>
    <row r="447" spans="17:32" ht="15" thickBot="1">
      <c r="Q447" s="1"/>
      <c r="R447" s="4"/>
      <c r="S447" s="1"/>
      <c r="T447" s="1"/>
      <c r="U447" s="1"/>
      <c r="V447" s="1"/>
      <c r="W447" s="1"/>
      <c r="X447" s="5"/>
      <c r="Y447" s="5"/>
      <c r="Z447" s="1"/>
      <c r="AA447" s="1"/>
      <c r="AB447" s="1"/>
      <c r="AC447" s="4"/>
      <c r="AD447" s="5"/>
      <c r="AE447" s="4"/>
      <c r="AF447" s="5"/>
    </row>
    <row r="448" spans="17:32" ht="15" thickBot="1">
      <c r="Q448" s="1"/>
      <c r="R448" s="4"/>
      <c r="S448" s="1"/>
      <c r="T448" s="1"/>
      <c r="U448" s="1"/>
      <c r="V448" s="1"/>
      <c r="W448" s="1"/>
      <c r="X448" s="5"/>
      <c r="Y448" s="5"/>
      <c r="Z448" s="1"/>
      <c r="AA448" s="1"/>
      <c r="AB448" s="1"/>
      <c r="AC448" s="4"/>
      <c r="AD448" s="5"/>
      <c r="AE448" s="4"/>
      <c r="AF448" s="5"/>
    </row>
    <row r="449" spans="17:32" ht="15" thickBot="1">
      <c r="Q449" s="1"/>
      <c r="R449" s="4"/>
      <c r="S449" s="1"/>
      <c r="T449" s="1"/>
      <c r="U449" s="1"/>
      <c r="V449" s="1"/>
      <c r="W449" s="1"/>
      <c r="X449" s="5"/>
      <c r="Y449" s="5"/>
      <c r="Z449" s="1"/>
      <c r="AA449" s="1"/>
      <c r="AB449" s="1"/>
      <c r="AC449" s="4"/>
      <c r="AD449" s="5"/>
      <c r="AE449" s="4"/>
      <c r="AF449" s="5"/>
    </row>
    <row r="450" spans="17:32" ht="15" thickBot="1">
      <c r="Q450" s="1"/>
      <c r="R450" s="4"/>
      <c r="S450" s="1"/>
      <c r="T450" s="1"/>
      <c r="U450" s="1"/>
      <c r="V450" s="1"/>
      <c r="W450" s="1"/>
      <c r="X450" s="5"/>
      <c r="Y450" s="5"/>
      <c r="Z450" s="1"/>
      <c r="AA450" s="1"/>
      <c r="AB450" s="1"/>
      <c r="AC450" s="4"/>
      <c r="AD450" s="5"/>
      <c r="AE450" s="4"/>
      <c r="AF450" s="5"/>
    </row>
    <row r="451" spans="17:32" ht="15" thickBot="1">
      <c r="Q451" s="1"/>
      <c r="R451" s="4"/>
      <c r="S451" s="1"/>
      <c r="T451" s="1"/>
      <c r="U451" s="1"/>
      <c r="V451" s="1"/>
      <c r="W451" s="1"/>
      <c r="X451" s="5"/>
      <c r="Y451" s="5"/>
      <c r="Z451" s="1"/>
      <c r="AA451" s="1"/>
      <c r="AB451" s="1"/>
      <c r="AC451" s="4"/>
      <c r="AD451" s="5"/>
      <c r="AE451" s="4"/>
      <c r="AF451" s="5"/>
    </row>
    <row r="452" spans="17:32" ht="15" thickBot="1">
      <c r="Q452" s="1"/>
      <c r="R452" s="4"/>
      <c r="S452" s="1"/>
      <c r="T452" s="1"/>
      <c r="U452" s="1"/>
      <c r="V452" s="1"/>
      <c r="W452" s="1"/>
      <c r="X452" s="5"/>
      <c r="Y452" s="5"/>
      <c r="Z452" s="1"/>
      <c r="AA452" s="1"/>
      <c r="AB452" s="1"/>
      <c r="AC452" s="4"/>
      <c r="AD452" s="5"/>
      <c r="AE452" s="4"/>
      <c r="AF452" s="5"/>
    </row>
    <row r="453" spans="17:32" ht="15" thickBot="1">
      <c r="Q453" s="1"/>
      <c r="R453" s="4"/>
      <c r="S453" s="1"/>
      <c r="T453" s="1"/>
      <c r="U453" s="1"/>
      <c r="V453" s="1"/>
      <c r="W453" s="1"/>
      <c r="X453" s="5"/>
      <c r="Y453" s="5"/>
      <c r="Z453" s="1"/>
      <c r="AA453" s="1"/>
      <c r="AB453" s="1"/>
      <c r="AC453" s="4"/>
      <c r="AD453" s="5"/>
      <c r="AE453" s="4"/>
      <c r="AF453" s="5"/>
    </row>
    <row r="454" spans="17:32" ht="15" thickBot="1">
      <c r="Q454" s="1"/>
      <c r="R454" s="4"/>
      <c r="S454" s="1"/>
      <c r="T454" s="1"/>
      <c r="U454" s="1"/>
      <c r="V454" s="1"/>
      <c r="W454" s="1"/>
      <c r="X454" s="5"/>
      <c r="Y454" s="5"/>
      <c r="Z454" s="1"/>
      <c r="AA454" s="1"/>
      <c r="AB454" s="1"/>
      <c r="AC454" s="4"/>
      <c r="AD454" s="5"/>
      <c r="AE454" s="4"/>
      <c r="AF454" s="5"/>
    </row>
    <row r="455" spans="17:32" ht="15" thickBot="1">
      <c r="Q455" s="1"/>
      <c r="R455" s="4"/>
      <c r="S455" s="1"/>
      <c r="T455" s="1"/>
      <c r="U455" s="1"/>
      <c r="V455" s="1"/>
      <c r="W455" s="1"/>
      <c r="X455" s="5"/>
      <c r="Y455" s="5"/>
      <c r="Z455" s="1"/>
      <c r="AA455" s="1"/>
      <c r="AB455" s="1"/>
      <c r="AC455" s="4"/>
      <c r="AD455" s="5"/>
      <c r="AE455" s="4"/>
      <c r="AF455" s="5"/>
    </row>
    <row r="456" spans="17:32" ht="15" thickBot="1">
      <c r="Q456" s="1"/>
      <c r="R456" s="4"/>
      <c r="S456" s="1"/>
      <c r="T456" s="1"/>
      <c r="U456" s="1"/>
      <c r="V456" s="1"/>
      <c r="W456" s="1"/>
      <c r="X456" s="5"/>
      <c r="Y456" s="5"/>
      <c r="Z456" s="1"/>
      <c r="AA456" s="1"/>
      <c r="AB456" s="1"/>
      <c r="AC456" s="4"/>
      <c r="AD456" s="5"/>
      <c r="AE456" s="4"/>
      <c r="AF456" s="5"/>
    </row>
    <row r="457" spans="17:32" ht="15" thickBot="1">
      <c r="Q457" s="1"/>
      <c r="R457" s="4"/>
      <c r="S457" s="1"/>
      <c r="T457" s="1"/>
      <c r="U457" s="1"/>
      <c r="V457" s="1"/>
      <c r="W457" s="1"/>
      <c r="X457" s="5"/>
      <c r="Y457" s="5"/>
      <c r="Z457" s="1"/>
      <c r="AA457" s="1"/>
      <c r="AB457" s="1"/>
      <c r="AC457" s="4"/>
      <c r="AD457" s="5"/>
      <c r="AE457" s="4"/>
      <c r="AF457" s="5"/>
    </row>
    <row r="458" spans="17:32" ht="15" thickBot="1">
      <c r="Q458" s="1"/>
      <c r="R458" s="4"/>
      <c r="S458" s="1"/>
      <c r="T458" s="1"/>
      <c r="U458" s="1"/>
      <c r="V458" s="1"/>
      <c r="W458" s="1"/>
      <c r="X458" s="5"/>
      <c r="Y458" s="5"/>
      <c r="Z458" s="1"/>
      <c r="AA458" s="1"/>
      <c r="AB458" s="1"/>
      <c r="AC458" s="4"/>
      <c r="AD458" s="5"/>
      <c r="AE458" s="4"/>
      <c r="AF458" s="5"/>
    </row>
    <row r="459" spans="17:32" ht="15" thickBot="1">
      <c r="Q459" s="1"/>
      <c r="R459" s="4"/>
      <c r="S459" s="1"/>
      <c r="T459" s="1"/>
      <c r="U459" s="1"/>
      <c r="V459" s="1"/>
      <c r="W459" s="1"/>
      <c r="X459" s="5"/>
      <c r="Y459" s="5"/>
      <c r="Z459" s="1"/>
      <c r="AA459" s="1"/>
      <c r="AB459" s="1"/>
      <c r="AC459" s="4"/>
      <c r="AD459" s="5"/>
      <c r="AE459" s="4"/>
      <c r="AF459" s="5"/>
    </row>
    <row r="460" spans="17:32" ht="15" thickBot="1">
      <c r="Q460" s="1"/>
      <c r="R460" s="4"/>
      <c r="S460" s="1"/>
      <c r="T460" s="1"/>
      <c r="U460" s="1"/>
      <c r="V460" s="1"/>
      <c r="W460" s="1"/>
      <c r="X460" s="5"/>
      <c r="Y460" s="5"/>
      <c r="Z460" s="1"/>
      <c r="AA460" s="1"/>
      <c r="AB460" s="1"/>
      <c r="AC460" s="4"/>
      <c r="AD460" s="5"/>
      <c r="AE460" s="4"/>
      <c r="AF460" s="5"/>
    </row>
    <row r="461" spans="17:32" ht="15" thickBot="1">
      <c r="Q461" s="1"/>
      <c r="R461" s="4"/>
      <c r="S461" s="1"/>
      <c r="T461" s="1"/>
      <c r="U461" s="1"/>
      <c r="V461" s="1"/>
      <c r="W461" s="1"/>
      <c r="X461" s="5"/>
      <c r="Y461" s="5"/>
      <c r="Z461" s="1"/>
      <c r="AA461" s="1"/>
      <c r="AB461" s="1"/>
      <c r="AC461" s="4"/>
      <c r="AD461" s="5"/>
      <c r="AE461" s="4"/>
      <c r="AF461" s="5"/>
    </row>
    <row r="462" spans="17:32" ht="15" thickBot="1">
      <c r="Q462" s="1"/>
      <c r="R462" s="4"/>
      <c r="S462" s="1"/>
      <c r="T462" s="1"/>
      <c r="U462" s="1"/>
      <c r="V462" s="1"/>
      <c r="W462" s="1"/>
      <c r="X462" s="5"/>
      <c r="Y462" s="5"/>
      <c r="Z462" s="1"/>
      <c r="AA462" s="1"/>
      <c r="AB462" s="1"/>
      <c r="AC462" s="4"/>
      <c r="AD462" s="5"/>
      <c r="AE462" s="4"/>
      <c r="AF462" s="5"/>
    </row>
    <row r="463" spans="17:32" ht="15" thickBot="1">
      <c r="Q463" s="1"/>
      <c r="R463" s="4"/>
      <c r="S463" s="1"/>
      <c r="T463" s="1"/>
      <c r="U463" s="1"/>
      <c r="V463" s="1"/>
      <c r="W463" s="1"/>
      <c r="X463" s="5"/>
      <c r="Y463" s="5"/>
      <c r="Z463" s="1"/>
      <c r="AA463" s="1"/>
      <c r="AB463" s="1"/>
      <c r="AC463" s="4"/>
      <c r="AD463" s="5"/>
      <c r="AE463" s="4"/>
      <c r="AF463" s="5"/>
    </row>
    <row r="464" spans="17:32" ht="15" thickBot="1">
      <c r="Q464" s="1"/>
      <c r="R464" s="4"/>
      <c r="S464" s="1"/>
      <c r="T464" s="1"/>
      <c r="U464" s="1"/>
      <c r="V464" s="1"/>
      <c r="W464" s="1"/>
      <c r="X464" s="5"/>
      <c r="Y464" s="5"/>
      <c r="Z464" s="1"/>
      <c r="AA464" s="1"/>
      <c r="AB464" s="1"/>
      <c r="AC464" s="4"/>
      <c r="AD464" s="5"/>
      <c r="AE464" s="4"/>
      <c r="AF464" s="5"/>
    </row>
    <row r="465" spans="17:32" ht="15" thickBot="1">
      <c r="Q465" s="1"/>
      <c r="R465" s="4"/>
      <c r="S465" s="1"/>
      <c r="T465" s="1"/>
      <c r="U465" s="1"/>
      <c r="V465" s="1"/>
      <c r="W465" s="1"/>
      <c r="X465" s="5"/>
      <c r="Y465" s="5"/>
      <c r="Z465" s="1"/>
      <c r="AA465" s="1"/>
      <c r="AB465" s="1"/>
      <c r="AC465" s="4"/>
      <c r="AD465" s="5"/>
      <c r="AE465" s="4"/>
      <c r="AF465" s="5"/>
    </row>
    <row r="466" spans="17:32" ht="15" thickBot="1">
      <c r="Q466" s="1"/>
      <c r="R466" s="4"/>
      <c r="S466" s="1"/>
      <c r="T466" s="1"/>
      <c r="U466" s="1"/>
      <c r="V466" s="1"/>
      <c r="W466" s="1"/>
      <c r="X466" s="5"/>
      <c r="Y466" s="5"/>
      <c r="Z466" s="1"/>
      <c r="AA466" s="1"/>
      <c r="AB466" s="1"/>
      <c r="AC466" s="4"/>
      <c r="AD466" s="5"/>
      <c r="AE466" s="4"/>
      <c r="AF466" s="5"/>
    </row>
    <row r="467" spans="17:32" ht="15" thickBot="1">
      <c r="Q467" s="1"/>
      <c r="R467" s="4"/>
      <c r="S467" s="1"/>
      <c r="T467" s="1"/>
      <c r="U467" s="1"/>
      <c r="V467" s="1"/>
      <c r="W467" s="1"/>
      <c r="X467" s="5"/>
      <c r="Y467" s="5"/>
      <c r="Z467" s="1"/>
      <c r="AA467" s="1"/>
      <c r="AB467" s="1"/>
      <c r="AC467" s="4"/>
      <c r="AD467" s="5"/>
      <c r="AE467" s="4"/>
      <c r="AF467" s="5"/>
    </row>
    <row r="468" spans="17:32" ht="15" thickBot="1">
      <c r="Q468" s="1"/>
      <c r="R468" s="4"/>
      <c r="S468" s="1"/>
      <c r="T468" s="1"/>
      <c r="U468" s="1"/>
      <c r="V468" s="1"/>
      <c r="W468" s="1"/>
      <c r="X468" s="5"/>
      <c r="Y468" s="5"/>
      <c r="Z468" s="1"/>
      <c r="AA468" s="1"/>
      <c r="AB468" s="1"/>
      <c r="AC468" s="4"/>
      <c r="AD468" s="5"/>
      <c r="AE468" s="4"/>
      <c r="AF468" s="5"/>
    </row>
    <row r="469" spans="17:32" ht="15" thickBot="1">
      <c r="Q469" s="1"/>
      <c r="R469" s="4"/>
      <c r="S469" s="1"/>
      <c r="T469" s="1"/>
      <c r="U469" s="1"/>
      <c r="V469" s="1"/>
      <c r="W469" s="1"/>
      <c r="X469" s="5"/>
      <c r="Y469" s="5"/>
      <c r="Z469" s="1"/>
      <c r="AA469" s="1"/>
      <c r="AB469" s="1"/>
      <c r="AC469" s="4"/>
      <c r="AD469" s="5"/>
      <c r="AE469" s="4"/>
      <c r="AF469" s="5"/>
    </row>
    <row r="470" spans="17:32" ht="15" thickBot="1">
      <c r="Q470" s="1"/>
      <c r="R470" s="4"/>
      <c r="S470" s="1"/>
      <c r="T470" s="1"/>
      <c r="U470" s="1"/>
      <c r="V470" s="1"/>
      <c r="W470" s="1"/>
      <c r="X470" s="5"/>
      <c r="Y470" s="5"/>
      <c r="Z470" s="1"/>
      <c r="AA470" s="1"/>
      <c r="AB470" s="1"/>
      <c r="AC470" s="4"/>
      <c r="AD470" s="5"/>
      <c r="AE470" s="4"/>
      <c r="AF470" s="5"/>
    </row>
    <row r="471" spans="17:32" ht="15" thickBot="1">
      <c r="Q471" s="1"/>
      <c r="R471" s="4"/>
      <c r="S471" s="1"/>
      <c r="T471" s="1"/>
      <c r="U471" s="1"/>
      <c r="V471" s="1"/>
      <c r="W471" s="1"/>
      <c r="X471" s="5"/>
      <c r="Y471" s="5"/>
      <c r="Z471" s="1"/>
      <c r="AA471" s="1"/>
      <c r="AB471" s="1"/>
      <c r="AC471" s="4"/>
      <c r="AD471" s="5"/>
      <c r="AE471" s="4"/>
      <c r="AF471" s="5"/>
    </row>
    <row r="472" spans="17:32" ht="15" thickBot="1">
      <c r="Q472" s="1"/>
      <c r="R472" s="4"/>
      <c r="S472" s="1"/>
      <c r="T472" s="1"/>
      <c r="U472" s="1"/>
      <c r="V472" s="1"/>
      <c r="W472" s="1"/>
      <c r="X472" s="5"/>
      <c r="Y472" s="5"/>
      <c r="Z472" s="1"/>
      <c r="AA472" s="1"/>
      <c r="AB472" s="1"/>
      <c r="AC472" s="4"/>
      <c r="AD472" s="5"/>
      <c r="AE472" s="4"/>
      <c r="AF472" s="5"/>
    </row>
    <row r="473" spans="17:32" ht="15" thickBot="1">
      <c r="Q473" s="1"/>
      <c r="R473" s="4"/>
      <c r="S473" s="1"/>
      <c r="T473" s="1"/>
      <c r="U473" s="1"/>
      <c r="V473" s="1"/>
      <c r="W473" s="1"/>
      <c r="X473" s="5"/>
      <c r="Y473" s="5"/>
      <c r="Z473" s="1"/>
      <c r="AA473" s="1"/>
      <c r="AB473" s="1"/>
      <c r="AC473" s="4"/>
      <c r="AD473" s="5"/>
      <c r="AE473" s="4"/>
      <c r="AF473" s="5"/>
    </row>
    <row r="474" spans="17:32" ht="15" thickBot="1">
      <c r="Q474" s="1"/>
      <c r="R474" s="4"/>
      <c r="S474" s="1"/>
      <c r="T474" s="1"/>
      <c r="U474" s="1"/>
      <c r="V474" s="1"/>
      <c r="W474" s="1"/>
      <c r="X474" s="5"/>
      <c r="Y474" s="5"/>
      <c r="Z474" s="1"/>
      <c r="AA474" s="1"/>
      <c r="AB474" s="1"/>
      <c r="AC474" s="4"/>
      <c r="AD474" s="5"/>
      <c r="AE474" s="4"/>
      <c r="AF474" s="5"/>
    </row>
    <row r="475" spans="17:32" ht="15" thickBot="1">
      <c r="Q475" s="1"/>
      <c r="R475" s="4"/>
      <c r="S475" s="1"/>
      <c r="T475" s="1"/>
      <c r="U475" s="1"/>
      <c r="V475" s="1"/>
      <c r="W475" s="1"/>
      <c r="X475" s="5"/>
      <c r="Y475" s="5"/>
      <c r="Z475" s="1"/>
      <c r="AA475" s="1"/>
      <c r="AB475" s="1"/>
      <c r="AC475" s="4"/>
      <c r="AD475" s="5"/>
      <c r="AE475" s="4"/>
      <c r="AF475" s="5"/>
    </row>
    <row r="476" spans="17:32" ht="15" thickBot="1">
      <c r="Q476" s="1"/>
      <c r="R476" s="4"/>
      <c r="S476" s="1"/>
      <c r="T476" s="1"/>
      <c r="U476" s="1"/>
      <c r="V476" s="1"/>
      <c r="W476" s="1"/>
      <c r="X476" s="5"/>
      <c r="Y476" s="5"/>
      <c r="Z476" s="1"/>
      <c r="AA476" s="1"/>
      <c r="AB476" s="1"/>
      <c r="AC476" s="4"/>
      <c r="AD476" s="5"/>
      <c r="AE476" s="4"/>
      <c r="AF476" s="5"/>
    </row>
    <row r="477" spans="17:32" ht="15" thickBot="1">
      <c r="Q477" s="1"/>
      <c r="R477" s="4"/>
      <c r="S477" s="1"/>
      <c r="T477" s="1"/>
      <c r="U477" s="1"/>
      <c r="V477" s="1"/>
      <c r="W477" s="1"/>
      <c r="X477" s="5"/>
      <c r="Y477" s="5"/>
      <c r="Z477" s="1"/>
      <c r="AA477" s="1"/>
      <c r="AB477" s="1"/>
      <c r="AC477" s="4"/>
      <c r="AD477" s="5"/>
      <c r="AE477" s="4"/>
      <c r="AF477" s="5"/>
    </row>
    <row r="478" spans="17:32" ht="15" thickBot="1">
      <c r="Q478" s="1"/>
      <c r="R478" s="4"/>
      <c r="S478" s="1"/>
      <c r="T478" s="1"/>
      <c r="U478" s="1"/>
      <c r="V478" s="1"/>
      <c r="W478" s="1"/>
      <c r="X478" s="5"/>
      <c r="Y478" s="5"/>
      <c r="Z478" s="1"/>
      <c r="AA478" s="1"/>
      <c r="AB478" s="1"/>
      <c r="AC478" s="4"/>
      <c r="AD478" s="5"/>
      <c r="AE478" s="4"/>
      <c r="AF478" s="5"/>
    </row>
    <row r="479" spans="17:32" ht="15" thickBot="1">
      <c r="Q479" s="1"/>
      <c r="R479" s="4"/>
      <c r="S479" s="1"/>
      <c r="T479" s="1"/>
      <c r="U479" s="1"/>
      <c r="V479" s="1"/>
      <c r="W479" s="1"/>
      <c r="X479" s="5"/>
      <c r="Y479" s="5"/>
      <c r="Z479" s="1"/>
      <c r="AA479" s="1"/>
      <c r="AB479" s="1"/>
      <c r="AC479" s="4"/>
      <c r="AD479" s="5"/>
      <c r="AE479" s="4"/>
      <c r="AF479" s="5"/>
    </row>
    <row r="480" spans="17:32" ht="15" thickBot="1">
      <c r="Q480" s="1"/>
      <c r="R480" s="4"/>
      <c r="S480" s="1"/>
      <c r="T480" s="1"/>
      <c r="U480" s="1"/>
      <c r="V480" s="1"/>
      <c r="W480" s="1"/>
      <c r="X480" s="5"/>
      <c r="Y480" s="5"/>
      <c r="Z480" s="1"/>
      <c r="AA480" s="1"/>
      <c r="AB480" s="1"/>
      <c r="AC480" s="4"/>
      <c r="AD480" s="5"/>
      <c r="AE480" s="4"/>
      <c r="AF480" s="5"/>
    </row>
    <row r="481" spans="17:32" ht="15" thickBot="1">
      <c r="Q481" s="1"/>
      <c r="R481" s="4"/>
      <c r="S481" s="1"/>
      <c r="T481" s="1"/>
      <c r="U481" s="1"/>
      <c r="V481" s="1"/>
      <c r="W481" s="1"/>
      <c r="X481" s="5"/>
      <c r="Y481" s="5"/>
      <c r="Z481" s="1"/>
      <c r="AA481" s="1"/>
      <c r="AB481" s="1"/>
      <c r="AC481" s="4"/>
      <c r="AD481" s="5"/>
      <c r="AE481" s="4"/>
      <c r="AF481" s="5"/>
    </row>
    <row r="482" spans="17:32" ht="15" thickBot="1">
      <c r="Q482" s="1"/>
      <c r="R482" s="4"/>
      <c r="S482" s="1"/>
      <c r="T482" s="1"/>
      <c r="U482" s="1"/>
      <c r="V482" s="1"/>
      <c r="W482" s="1"/>
      <c r="X482" s="5"/>
      <c r="Y482" s="5"/>
      <c r="Z482" s="1"/>
      <c r="AA482" s="1"/>
      <c r="AB482" s="1"/>
      <c r="AC482" s="4"/>
      <c r="AD482" s="5"/>
      <c r="AE482" s="4"/>
      <c r="AF482" s="5"/>
    </row>
    <row r="483" spans="17:32" ht="15" thickBot="1">
      <c r="Q483" s="1"/>
      <c r="R483" s="4"/>
      <c r="S483" s="1"/>
      <c r="T483" s="1"/>
      <c r="U483" s="1"/>
      <c r="V483" s="1"/>
      <c r="W483" s="1"/>
      <c r="X483" s="5"/>
      <c r="Y483" s="5"/>
      <c r="Z483" s="1"/>
      <c r="AA483" s="1"/>
      <c r="AB483" s="1"/>
      <c r="AC483" s="4"/>
      <c r="AD483" s="5"/>
      <c r="AE483" s="4"/>
      <c r="AF483" s="5"/>
    </row>
    <row r="484" spans="17:32" ht="15" thickBot="1">
      <c r="Q484" s="1"/>
      <c r="R484" s="4"/>
      <c r="S484" s="1"/>
      <c r="T484" s="1"/>
      <c r="U484" s="1"/>
      <c r="V484" s="1"/>
      <c r="W484" s="1"/>
      <c r="X484" s="5"/>
      <c r="Y484" s="5"/>
      <c r="Z484" s="1"/>
      <c r="AA484" s="1"/>
      <c r="AB484" s="1"/>
      <c r="AC484" s="4"/>
      <c r="AD484" s="5"/>
      <c r="AE484" s="4"/>
      <c r="AF484" s="5"/>
    </row>
    <row r="485" spans="17:32" ht="15" thickBot="1">
      <c r="Q485" s="1"/>
      <c r="R485" s="4"/>
      <c r="S485" s="1"/>
      <c r="T485" s="1"/>
      <c r="U485" s="1"/>
      <c r="V485" s="1"/>
      <c r="W485" s="1"/>
      <c r="X485" s="5"/>
      <c r="Y485" s="5"/>
      <c r="Z485" s="1"/>
      <c r="AA485" s="1"/>
      <c r="AB485" s="1"/>
      <c r="AC485" s="4"/>
      <c r="AD485" s="5"/>
      <c r="AE485" s="4"/>
      <c r="AF485" s="5"/>
    </row>
    <row r="486" spans="17:32" ht="15" thickBot="1">
      <c r="Q486" s="1"/>
      <c r="R486" s="4"/>
      <c r="S486" s="1"/>
      <c r="T486" s="1"/>
      <c r="U486" s="1"/>
      <c r="V486" s="1"/>
      <c r="W486" s="1"/>
      <c r="X486" s="5"/>
      <c r="Y486" s="5"/>
      <c r="Z486" s="1"/>
      <c r="AA486" s="1"/>
      <c r="AB486" s="1"/>
      <c r="AC486" s="4"/>
      <c r="AD486" s="5"/>
      <c r="AE486" s="4"/>
      <c r="AF486" s="5"/>
    </row>
    <row r="487" spans="17:32" ht="15" thickBot="1">
      <c r="Q487" s="1"/>
      <c r="R487" s="4"/>
      <c r="S487" s="1"/>
      <c r="T487" s="1"/>
      <c r="U487" s="1"/>
      <c r="V487" s="1"/>
      <c r="W487" s="1"/>
      <c r="X487" s="5"/>
      <c r="Y487" s="5"/>
      <c r="Z487" s="1"/>
      <c r="AA487" s="1"/>
      <c r="AB487" s="1"/>
      <c r="AC487" s="4"/>
      <c r="AD487" s="5"/>
      <c r="AE487" s="4"/>
      <c r="AF487" s="5"/>
    </row>
    <row r="488" spans="17:32" ht="15" thickBot="1">
      <c r="Q488" s="1"/>
      <c r="R488" s="4"/>
      <c r="S488" s="1"/>
      <c r="T488" s="1"/>
      <c r="U488" s="1"/>
      <c r="V488" s="1"/>
      <c r="W488" s="1"/>
      <c r="X488" s="5"/>
      <c r="Y488" s="5"/>
      <c r="Z488" s="1"/>
      <c r="AA488" s="1"/>
      <c r="AB488" s="1"/>
      <c r="AC488" s="4"/>
      <c r="AD488" s="5"/>
      <c r="AE488" s="4"/>
      <c r="AF488" s="5"/>
    </row>
    <row r="489" spans="17:32" ht="15" thickBot="1">
      <c r="Q489" s="1"/>
      <c r="R489" s="4"/>
      <c r="S489" s="1"/>
      <c r="T489" s="1"/>
      <c r="U489" s="1"/>
      <c r="V489" s="1"/>
      <c r="W489" s="1"/>
      <c r="X489" s="5"/>
      <c r="Y489" s="5"/>
      <c r="Z489" s="1"/>
      <c r="AA489" s="1"/>
      <c r="AB489" s="1"/>
      <c r="AC489" s="4"/>
      <c r="AD489" s="5"/>
      <c r="AE489" s="4"/>
      <c r="AF489" s="5"/>
    </row>
    <row r="490" spans="17:32" ht="15" thickBot="1">
      <c r="Q490" s="1"/>
      <c r="R490" s="4"/>
      <c r="S490" s="1"/>
      <c r="T490" s="1"/>
      <c r="U490" s="1"/>
      <c r="V490" s="1"/>
      <c r="W490" s="1"/>
      <c r="X490" s="5"/>
      <c r="Y490" s="5"/>
      <c r="Z490" s="1"/>
      <c r="AA490" s="1"/>
      <c r="AB490" s="1"/>
      <c r="AC490" s="4"/>
      <c r="AD490" s="5"/>
      <c r="AE490" s="4"/>
      <c r="AF490" s="5"/>
    </row>
    <row r="491" spans="17:32" ht="15" thickBot="1">
      <c r="Q491" s="1"/>
      <c r="R491" s="4"/>
      <c r="S491" s="1"/>
      <c r="T491" s="4"/>
      <c r="U491" s="1"/>
      <c r="V491" s="1"/>
      <c r="W491" s="1"/>
      <c r="X491" s="1"/>
      <c r="Y491" s="1"/>
      <c r="Z491" s="5"/>
      <c r="AA491" s="5"/>
      <c r="AB491" s="1"/>
      <c r="AC491" s="1"/>
      <c r="AD491" s="1"/>
      <c r="AE491" s="4"/>
      <c r="AF491" s="5"/>
    </row>
    <row r="492" spans="17:32" ht="15" thickBot="1">
      <c r="Q492" s="1"/>
      <c r="R492" s="4"/>
      <c r="S492" s="1"/>
      <c r="T492" s="1"/>
      <c r="U492" s="1"/>
      <c r="V492" s="1"/>
      <c r="W492" s="1"/>
      <c r="X492" s="5"/>
      <c r="Y492" s="5"/>
      <c r="Z492" s="1"/>
      <c r="AA492" s="1"/>
      <c r="AB492" s="1"/>
      <c r="AC492" s="4"/>
      <c r="AD492" s="5"/>
    </row>
    <row r="493" spans="17:32" ht="15" thickBot="1">
      <c r="Q493" s="1"/>
      <c r="R493" s="4"/>
      <c r="S493" s="1"/>
      <c r="T493" s="1"/>
      <c r="U493" s="1"/>
      <c r="V493" s="1"/>
      <c r="W493" s="1"/>
      <c r="X493" s="5"/>
      <c r="Y493" s="5"/>
      <c r="Z493" s="1"/>
      <c r="AA493" s="1"/>
      <c r="AB493" s="1"/>
      <c r="AC493" s="4"/>
      <c r="AD493" s="5"/>
    </row>
    <row r="494" spans="17:32" ht="15" thickBot="1">
      <c r="Q494" s="1"/>
      <c r="R494" s="4"/>
      <c r="S494" s="1"/>
      <c r="T494" s="1"/>
      <c r="U494" s="1"/>
      <c r="V494" s="1"/>
      <c r="W494" s="1"/>
      <c r="X494" s="5"/>
      <c r="Y494" s="5"/>
      <c r="Z494" s="1"/>
      <c r="AA494" s="1"/>
      <c r="AB494" s="1"/>
      <c r="AC494" s="4"/>
      <c r="AD494"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4C93-06D5-477A-9D4B-3264CE89D1DF}">
  <dimension ref="A1:S253"/>
  <sheetViews>
    <sheetView workbookViewId="0">
      <selection activeCell="U6" sqref="U6"/>
    </sheetView>
  </sheetViews>
  <sheetFormatPr defaultRowHeight="14.4"/>
  <cols>
    <col min="2" max="2" width="10.33203125" bestFit="1" customWidth="1"/>
    <col min="13" max="13" width="10.33203125" bestFit="1" customWidth="1"/>
    <col min="14" max="14" width="9.44140625" customWidth="1"/>
    <col min="15" max="15" width="10.33203125" bestFit="1" customWidth="1"/>
    <col min="16" max="16" width="15.44140625" bestFit="1" customWidth="1"/>
  </cols>
  <sheetData>
    <row r="1" spans="1:19" ht="15" thickBot="1">
      <c r="A1" s="9" t="s">
        <v>399</v>
      </c>
      <c r="B1" s="9"/>
      <c r="C1" s="9"/>
      <c r="D1" s="9"/>
      <c r="E1" s="9"/>
      <c r="F1" s="9"/>
      <c r="G1" s="9"/>
      <c r="H1" s="9"/>
      <c r="I1" s="9"/>
      <c r="J1" s="9"/>
      <c r="K1" s="9"/>
    </row>
    <row r="2" spans="1:19"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6" t="s">
        <v>400</v>
      </c>
      <c r="P2" s="8" t="s">
        <v>401</v>
      </c>
      <c r="Q2" s="8" t="s">
        <v>402</v>
      </c>
      <c r="R2" s="8" t="s">
        <v>403</v>
      </c>
    </row>
    <row r="3" spans="1:19" ht="29.4" customHeight="1" thickBot="1">
      <c r="A3" s="1" t="s">
        <v>14</v>
      </c>
      <c r="B3" s="4">
        <v>45393</v>
      </c>
      <c r="C3" s="1" t="s">
        <v>15</v>
      </c>
      <c r="D3" s="1" t="s">
        <v>16</v>
      </c>
      <c r="E3" s="1" t="s">
        <v>17</v>
      </c>
      <c r="F3" s="1" t="s">
        <v>18</v>
      </c>
      <c r="G3" s="1" t="s">
        <v>19</v>
      </c>
      <c r="H3" s="5">
        <v>3</v>
      </c>
      <c r="I3" s="5">
        <v>249.99</v>
      </c>
      <c r="J3" s="1" t="s">
        <v>20</v>
      </c>
      <c r="K3" s="1" t="s">
        <v>21</v>
      </c>
      <c r="L3" s="1" t="s">
        <v>22</v>
      </c>
      <c r="M3" s="4">
        <v>44425</v>
      </c>
      <c r="N3" s="5">
        <v>749.97</v>
      </c>
      <c r="O3" s="3">
        <f ca="1">TODAY()</f>
        <v>46116</v>
      </c>
      <c r="P3" s="7">
        <f ca="1">NOW()</f>
        <v>46116.588735879632</v>
      </c>
      <c r="Q3">
        <f ca="1">DATEDIF(M3, TODAY(), "M" )</f>
        <v>55</v>
      </c>
      <c r="R3">
        <f>EOMONTH(M3,1)</f>
        <v>44469</v>
      </c>
      <c r="S3" t="s">
        <v>404</v>
      </c>
    </row>
    <row r="4" spans="1:19"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s="3">
        <f t="shared" ref="O4:O67" ca="1" si="0">TODAY()</f>
        <v>46116</v>
      </c>
      <c r="P4" s="7">
        <f t="shared" ref="P4:P67" ca="1" si="1">NOW()</f>
        <v>46116.588735879632</v>
      </c>
      <c r="Q4">
        <f t="shared" ref="Q4:Q67" ca="1" si="2">DATEDIF(M4, TODAY(), "M" )</f>
        <v>50</v>
      </c>
      <c r="R4">
        <f t="shared" ref="R4:R67" si="3">EOMONTH(M4,1)</f>
        <v>44620</v>
      </c>
    </row>
    <row r="5" spans="1:19"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O5" s="3">
        <f t="shared" ca="1" si="0"/>
        <v>46116</v>
      </c>
      <c r="P5" s="7">
        <f t="shared" ca="1" si="1"/>
        <v>46116.588735879632</v>
      </c>
      <c r="Q5">
        <f t="shared" ca="1" si="2"/>
        <v>28</v>
      </c>
      <c r="R5">
        <f t="shared" si="3"/>
        <v>45322</v>
      </c>
    </row>
    <row r="6" spans="1:19"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O6" s="3">
        <f t="shared" ca="1" si="0"/>
        <v>46116</v>
      </c>
      <c r="P6" s="7">
        <f t="shared" ca="1" si="1"/>
        <v>46116.588735879632</v>
      </c>
      <c r="Q6">
        <f t="shared" ca="1" si="2"/>
        <v>32</v>
      </c>
      <c r="R6">
        <f t="shared" si="3"/>
        <v>45169</v>
      </c>
    </row>
    <row r="7" spans="1:19"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O7" s="3">
        <f t="shared" ca="1" si="0"/>
        <v>46116</v>
      </c>
      <c r="P7" s="7">
        <f t="shared" ca="1" si="1"/>
        <v>46116.588735879632</v>
      </c>
      <c r="Q7">
        <f t="shared" ca="1" si="2"/>
        <v>27</v>
      </c>
      <c r="R7">
        <f t="shared" si="3"/>
        <v>45351</v>
      </c>
    </row>
    <row r="8" spans="1:19"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O8" s="3">
        <f t="shared" ca="1" si="0"/>
        <v>46116</v>
      </c>
      <c r="P8" s="7">
        <f t="shared" ca="1" si="1"/>
        <v>46116.588735879632</v>
      </c>
      <c r="Q8">
        <f t="shared" ca="1" si="2"/>
        <v>45</v>
      </c>
      <c r="R8">
        <f t="shared" si="3"/>
        <v>44804</v>
      </c>
    </row>
    <row r="9" spans="1:19"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O9" s="3">
        <f t="shared" ca="1" si="0"/>
        <v>46116</v>
      </c>
      <c r="P9" s="7">
        <f t="shared" ca="1" si="1"/>
        <v>46116.588735879632</v>
      </c>
      <c r="Q9">
        <f t="shared" ca="1" si="2"/>
        <v>55</v>
      </c>
      <c r="R9">
        <f t="shared" si="3"/>
        <v>44469</v>
      </c>
    </row>
    <row r="10" spans="1:19"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O10" s="3">
        <f t="shared" ca="1" si="0"/>
        <v>46116</v>
      </c>
      <c r="P10" s="7">
        <f t="shared" ca="1" si="1"/>
        <v>46116.588735879632</v>
      </c>
      <c r="Q10">
        <f t="shared" ca="1" si="2"/>
        <v>36</v>
      </c>
      <c r="R10">
        <f t="shared" si="3"/>
        <v>45046</v>
      </c>
    </row>
    <row r="11" spans="1:19"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O11" s="3">
        <f t="shared" ca="1" si="0"/>
        <v>46116</v>
      </c>
      <c r="P11" s="7">
        <f t="shared" ca="1" si="1"/>
        <v>46116.588735879632</v>
      </c>
      <c r="Q11">
        <f t="shared" ca="1" si="2"/>
        <v>26</v>
      </c>
      <c r="R11">
        <f t="shared" si="3"/>
        <v>45351</v>
      </c>
    </row>
    <row r="12" spans="1:19"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O12" s="3">
        <f t="shared" ca="1" si="0"/>
        <v>46116</v>
      </c>
      <c r="P12" s="7">
        <f t="shared" ca="1" si="1"/>
        <v>46116.588735879632</v>
      </c>
      <c r="Q12">
        <f t="shared" ca="1" si="2"/>
        <v>29</v>
      </c>
      <c r="R12">
        <f t="shared" si="3"/>
        <v>45260</v>
      </c>
    </row>
    <row r="13" spans="1:19"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O13" s="3">
        <f t="shared" ca="1" si="0"/>
        <v>46116</v>
      </c>
      <c r="P13" s="7">
        <f t="shared" ca="1" si="1"/>
        <v>46116.588735879632</v>
      </c>
      <c r="Q13">
        <f t="shared" ca="1" si="2"/>
        <v>33</v>
      </c>
      <c r="R13">
        <f t="shared" si="3"/>
        <v>45138</v>
      </c>
    </row>
    <row r="14" spans="1:19"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O14" s="3">
        <f t="shared" ca="1" si="0"/>
        <v>46116</v>
      </c>
      <c r="P14" s="7">
        <f t="shared" ca="1" si="1"/>
        <v>46116.588735879632</v>
      </c>
      <c r="Q14">
        <f t="shared" ca="1" si="2"/>
        <v>42</v>
      </c>
      <c r="R14">
        <f t="shared" si="3"/>
        <v>44865</v>
      </c>
    </row>
    <row r="15" spans="1:19"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O15" s="3">
        <f t="shared" ca="1" si="0"/>
        <v>46116</v>
      </c>
      <c r="P15" s="7">
        <f t="shared" ca="1" si="1"/>
        <v>46116.588735879632</v>
      </c>
      <c r="Q15">
        <f t="shared" ca="1" si="2"/>
        <v>43</v>
      </c>
      <c r="R15">
        <f t="shared" si="3"/>
        <v>44865</v>
      </c>
    </row>
    <row r="16" spans="1:19"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O16" s="3">
        <f t="shared" ca="1" si="0"/>
        <v>46116</v>
      </c>
      <c r="P16" s="7">
        <f t="shared" ca="1" si="1"/>
        <v>46116.588735879632</v>
      </c>
      <c r="Q16">
        <f t="shared" ca="1" si="2"/>
        <v>25</v>
      </c>
      <c r="R16">
        <f t="shared" si="3"/>
        <v>45382</v>
      </c>
    </row>
    <row r="17" spans="1:18"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O17" s="3">
        <f t="shared" ca="1" si="0"/>
        <v>46116</v>
      </c>
      <c r="P17" s="7">
        <f t="shared" ca="1" si="1"/>
        <v>46116.588735879632</v>
      </c>
      <c r="Q17">
        <f t="shared" ca="1" si="2"/>
        <v>50</v>
      </c>
      <c r="R17">
        <f t="shared" si="3"/>
        <v>44620</v>
      </c>
    </row>
    <row r="18" spans="1:18"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O18" s="3">
        <f t="shared" ca="1" si="0"/>
        <v>46116</v>
      </c>
      <c r="P18" s="7">
        <f t="shared" ca="1" si="1"/>
        <v>46116.588735879632</v>
      </c>
      <c r="Q18">
        <f t="shared" ca="1" si="2"/>
        <v>39</v>
      </c>
      <c r="R18">
        <f t="shared" si="3"/>
        <v>44957</v>
      </c>
    </row>
    <row r="19" spans="1:18"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O19" s="3">
        <f t="shared" ca="1" si="0"/>
        <v>46116</v>
      </c>
      <c r="P19" s="7">
        <f t="shared" ca="1" si="1"/>
        <v>46116.588735879632</v>
      </c>
      <c r="Q19">
        <f t="shared" ca="1" si="2"/>
        <v>24</v>
      </c>
      <c r="R19">
        <f t="shared" si="3"/>
        <v>45412</v>
      </c>
    </row>
    <row r="20" spans="1:18"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O20" s="3">
        <f t="shared" ca="1" si="0"/>
        <v>46116</v>
      </c>
      <c r="P20" s="7">
        <f t="shared" ca="1" si="1"/>
        <v>46116.588735879632</v>
      </c>
      <c r="Q20">
        <f t="shared" ca="1" si="2"/>
        <v>43</v>
      </c>
      <c r="R20">
        <f t="shared" si="3"/>
        <v>44834</v>
      </c>
    </row>
    <row r="21" spans="1:18"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O21" s="3">
        <f t="shared" ca="1" si="0"/>
        <v>46116</v>
      </c>
      <c r="P21" s="7">
        <f t="shared" ca="1" si="1"/>
        <v>46116.588735879632</v>
      </c>
      <c r="Q21">
        <f t="shared" ca="1" si="2"/>
        <v>25</v>
      </c>
      <c r="R21">
        <f t="shared" si="3"/>
        <v>45382</v>
      </c>
    </row>
    <row r="22" spans="1:18"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O22" s="3">
        <f t="shared" ca="1" si="0"/>
        <v>46116</v>
      </c>
      <c r="P22" s="7">
        <f t="shared" ca="1" si="1"/>
        <v>46116.588735879632</v>
      </c>
      <c r="Q22">
        <f t="shared" ca="1" si="2"/>
        <v>29</v>
      </c>
      <c r="R22">
        <f t="shared" si="3"/>
        <v>45260</v>
      </c>
    </row>
    <row r="23" spans="1:18"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O23" s="3">
        <f t="shared" ca="1" si="0"/>
        <v>46116</v>
      </c>
      <c r="P23" s="7">
        <f t="shared" ca="1" si="1"/>
        <v>46116.588735879632</v>
      </c>
      <c r="Q23">
        <f t="shared" ca="1" si="2"/>
        <v>31</v>
      </c>
      <c r="R23">
        <f t="shared" si="3"/>
        <v>45199</v>
      </c>
    </row>
    <row r="24" spans="1:18"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O24" s="3">
        <f t="shared" ca="1" si="0"/>
        <v>46116</v>
      </c>
      <c r="P24" s="7">
        <f t="shared" ca="1" si="1"/>
        <v>46116.588735879632</v>
      </c>
      <c r="Q24">
        <f t="shared" ca="1" si="2"/>
        <v>56</v>
      </c>
      <c r="R24">
        <f t="shared" si="3"/>
        <v>44469</v>
      </c>
    </row>
    <row r="25" spans="1:18"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O25" s="3">
        <f t="shared" ca="1" si="0"/>
        <v>46116</v>
      </c>
      <c r="P25" s="7">
        <f t="shared" ca="1" si="1"/>
        <v>46116.588735879632</v>
      </c>
      <c r="Q25">
        <f t="shared" ca="1" si="2"/>
        <v>54</v>
      </c>
      <c r="R25">
        <f t="shared" si="3"/>
        <v>44500</v>
      </c>
    </row>
    <row r="26" spans="1:18"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O26" s="3">
        <f t="shared" ca="1" si="0"/>
        <v>46116</v>
      </c>
      <c r="P26" s="7">
        <f t="shared" ca="1" si="1"/>
        <v>46116.588735879632</v>
      </c>
      <c r="Q26">
        <f t="shared" ca="1" si="2"/>
        <v>46</v>
      </c>
      <c r="R26">
        <f t="shared" si="3"/>
        <v>44773</v>
      </c>
    </row>
    <row r="27" spans="1:18"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O27" s="3">
        <f t="shared" ca="1" si="0"/>
        <v>46116</v>
      </c>
      <c r="P27" s="7">
        <f t="shared" ca="1" si="1"/>
        <v>46116.588735879632</v>
      </c>
      <c r="Q27">
        <f t="shared" ca="1" si="2"/>
        <v>52</v>
      </c>
      <c r="R27">
        <f t="shared" si="3"/>
        <v>44561</v>
      </c>
    </row>
    <row r="28" spans="1:18"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O28" s="3">
        <f t="shared" ca="1" si="0"/>
        <v>46116</v>
      </c>
      <c r="P28" s="7">
        <f t="shared" ca="1" si="1"/>
        <v>46116.588735879632</v>
      </c>
      <c r="Q28">
        <f t="shared" ca="1" si="2"/>
        <v>31</v>
      </c>
      <c r="R28">
        <f t="shared" si="3"/>
        <v>45199</v>
      </c>
    </row>
    <row r="29" spans="1:18"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O29" s="3">
        <f t="shared" ca="1" si="0"/>
        <v>46116</v>
      </c>
      <c r="P29" s="7">
        <f t="shared" ca="1" si="1"/>
        <v>46116.588735879632</v>
      </c>
      <c r="Q29">
        <f t="shared" ca="1" si="2"/>
        <v>36</v>
      </c>
      <c r="R29">
        <f t="shared" si="3"/>
        <v>45046</v>
      </c>
    </row>
    <row r="30" spans="1:18"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O30" s="3">
        <f t="shared" ca="1" si="0"/>
        <v>46116</v>
      </c>
      <c r="P30" s="7">
        <f t="shared" ca="1" si="1"/>
        <v>46116.588735879632</v>
      </c>
      <c r="Q30">
        <f t="shared" ca="1" si="2"/>
        <v>39</v>
      </c>
      <c r="R30">
        <f t="shared" si="3"/>
        <v>44957</v>
      </c>
    </row>
    <row r="31" spans="1:18"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O31" s="3">
        <f t="shared" ca="1" si="0"/>
        <v>46116</v>
      </c>
      <c r="P31" s="7">
        <f t="shared" ca="1" si="1"/>
        <v>46116.588735879632</v>
      </c>
      <c r="Q31">
        <f t="shared" ca="1" si="2"/>
        <v>29</v>
      </c>
      <c r="R31">
        <f t="shared" si="3"/>
        <v>45260</v>
      </c>
    </row>
    <row r="32" spans="1:18"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O32" s="3">
        <f t="shared" ca="1" si="0"/>
        <v>46116</v>
      </c>
      <c r="P32" s="7">
        <f t="shared" ca="1" si="1"/>
        <v>46116.588735879632</v>
      </c>
      <c r="Q32">
        <f t="shared" ca="1" si="2"/>
        <v>41</v>
      </c>
      <c r="R32">
        <f t="shared" si="3"/>
        <v>44926</v>
      </c>
    </row>
    <row r="33" spans="1:18"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O33" s="3">
        <f t="shared" ca="1" si="0"/>
        <v>46116</v>
      </c>
      <c r="P33" s="7">
        <f t="shared" ca="1" si="1"/>
        <v>46116.588735879632</v>
      </c>
      <c r="Q33">
        <f t="shared" ca="1" si="2"/>
        <v>56</v>
      </c>
      <c r="R33">
        <f t="shared" si="3"/>
        <v>44469</v>
      </c>
    </row>
    <row r="34" spans="1:18"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O34" s="3">
        <f t="shared" ca="1" si="0"/>
        <v>46116</v>
      </c>
      <c r="P34" s="7">
        <f t="shared" ca="1" si="1"/>
        <v>46116.588735879632</v>
      </c>
      <c r="Q34">
        <f t="shared" ca="1" si="2"/>
        <v>42</v>
      </c>
      <c r="R34">
        <f t="shared" si="3"/>
        <v>44865</v>
      </c>
    </row>
    <row r="35" spans="1:18"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O35" s="3">
        <f t="shared" ca="1" si="0"/>
        <v>46116</v>
      </c>
      <c r="P35" s="7">
        <f t="shared" ca="1" si="1"/>
        <v>46116.588735879632</v>
      </c>
      <c r="Q35">
        <f t="shared" ca="1" si="2"/>
        <v>34</v>
      </c>
      <c r="R35">
        <f t="shared" si="3"/>
        <v>45107</v>
      </c>
    </row>
    <row r="36" spans="1:18"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O36" s="3">
        <f t="shared" ca="1" si="0"/>
        <v>46116</v>
      </c>
      <c r="P36" s="7">
        <f t="shared" ca="1" si="1"/>
        <v>46116.588735879632</v>
      </c>
      <c r="Q36">
        <f t="shared" ca="1" si="2"/>
        <v>50</v>
      </c>
      <c r="R36">
        <f t="shared" si="3"/>
        <v>44620</v>
      </c>
    </row>
    <row r="37" spans="1:18"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O37" s="3">
        <f t="shared" ca="1" si="0"/>
        <v>46116</v>
      </c>
      <c r="P37" s="7">
        <f t="shared" ca="1" si="1"/>
        <v>46116.588735879632</v>
      </c>
      <c r="Q37">
        <f t="shared" ca="1" si="2"/>
        <v>42</v>
      </c>
      <c r="R37">
        <f t="shared" si="3"/>
        <v>44865</v>
      </c>
    </row>
    <row r="38" spans="1:18"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O38" s="3">
        <f t="shared" ca="1" si="0"/>
        <v>46116</v>
      </c>
      <c r="P38" s="7">
        <f t="shared" ca="1" si="1"/>
        <v>46116.588735879632</v>
      </c>
      <c r="Q38">
        <f t="shared" ca="1" si="2"/>
        <v>35</v>
      </c>
      <c r="R38">
        <f t="shared" si="3"/>
        <v>45077</v>
      </c>
    </row>
    <row r="39" spans="1:18"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O39" s="3">
        <f t="shared" ca="1" si="0"/>
        <v>46116</v>
      </c>
      <c r="P39" s="7">
        <f t="shared" ca="1" si="1"/>
        <v>46116.588735879632</v>
      </c>
      <c r="Q39">
        <f t="shared" ca="1" si="2"/>
        <v>27</v>
      </c>
      <c r="R39">
        <f t="shared" si="3"/>
        <v>45351</v>
      </c>
    </row>
    <row r="40" spans="1:18"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O40" s="3">
        <f t="shared" ca="1" si="0"/>
        <v>46116</v>
      </c>
      <c r="P40" s="7">
        <f t="shared" ca="1" si="1"/>
        <v>46116.588735879632</v>
      </c>
      <c r="Q40">
        <f t="shared" ca="1" si="2"/>
        <v>56</v>
      </c>
      <c r="R40">
        <f t="shared" si="3"/>
        <v>44439</v>
      </c>
    </row>
    <row r="41" spans="1:18"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O41" s="3">
        <f t="shared" ca="1" si="0"/>
        <v>46116</v>
      </c>
      <c r="P41" s="7">
        <f t="shared" ca="1" si="1"/>
        <v>46116.588735879632</v>
      </c>
      <c r="Q41">
        <f t="shared" ca="1" si="2"/>
        <v>32</v>
      </c>
      <c r="R41">
        <f t="shared" si="3"/>
        <v>45169</v>
      </c>
    </row>
    <row r="42" spans="1:18"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O42" s="3">
        <f t="shared" ca="1" si="0"/>
        <v>46116</v>
      </c>
      <c r="P42" s="7">
        <f t="shared" ca="1" si="1"/>
        <v>46116.588735879632</v>
      </c>
      <c r="Q42">
        <f t="shared" ca="1" si="2"/>
        <v>39</v>
      </c>
      <c r="R42">
        <f t="shared" si="3"/>
        <v>44957</v>
      </c>
    </row>
    <row r="43" spans="1:18"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O43" s="3">
        <f t="shared" ca="1" si="0"/>
        <v>46116</v>
      </c>
      <c r="P43" s="7">
        <f t="shared" ca="1" si="1"/>
        <v>46116.588735879632</v>
      </c>
      <c r="Q43">
        <f t="shared" ca="1" si="2"/>
        <v>23</v>
      </c>
      <c r="R43">
        <f t="shared" si="3"/>
        <v>45443</v>
      </c>
    </row>
    <row r="44" spans="1:18"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O44" s="3">
        <f t="shared" ca="1" si="0"/>
        <v>46116</v>
      </c>
      <c r="P44" s="7">
        <f t="shared" ca="1" si="1"/>
        <v>46116.588735879632</v>
      </c>
      <c r="Q44">
        <f t="shared" ca="1" si="2"/>
        <v>32</v>
      </c>
      <c r="R44">
        <f t="shared" si="3"/>
        <v>45199</v>
      </c>
    </row>
    <row r="45" spans="1:18"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O45" s="3">
        <f t="shared" ca="1" si="0"/>
        <v>46116</v>
      </c>
      <c r="P45" s="7">
        <f t="shared" ca="1" si="1"/>
        <v>46116.588735879632</v>
      </c>
      <c r="Q45">
        <f t="shared" ca="1" si="2"/>
        <v>50</v>
      </c>
      <c r="R45">
        <f t="shared" si="3"/>
        <v>44620</v>
      </c>
    </row>
    <row r="46" spans="1:18"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O46" s="3">
        <f t="shared" ca="1" si="0"/>
        <v>46116</v>
      </c>
      <c r="P46" s="7">
        <f t="shared" ca="1" si="1"/>
        <v>46116.588735879632</v>
      </c>
      <c r="Q46">
        <f t="shared" ca="1" si="2"/>
        <v>46</v>
      </c>
      <c r="R46">
        <f t="shared" si="3"/>
        <v>44742</v>
      </c>
    </row>
    <row r="47" spans="1:18"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O47" s="3">
        <f t="shared" ca="1" si="0"/>
        <v>46116</v>
      </c>
      <c r="P47" s="7">
        <f t="shared" ca="1" si="1"/>
        <v>46116.588735879632</v>
      </c>
      <c r="Q47">
        <f t="shared" ca="1" si="2"/>
        <v>50</v>
      </c>
      <c r="R47">
        <f t="shared" si="3"/>
        <v>44620</v>
      </c>
    </row>
    <row r="48" spans="1:18"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O48" s="3">
        <f t="shared" ca="1" si="0"/>
        <v>46116</v>
      </c>
      <c r="P48" s="7">
        <f t="shared" ca="1" si="1"/>
        <v>46116.588735879632</v>
      </c>
      <c r="Q48">
        <f t="shared" ca="1" si="2"/>
        <v>48</v>
      </c>
      <c r="R48">
        <f t="shared" si="3"/>
        <v>44681</v>
      </c>
    </row>
    <row r="49" spans="1:18"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O49" s="3">
        <f t="shared" ca="1" si="0"/>
        <v>46116</v>
      </c>
      <c r="P49" s="7">
        <f t="shared" ca="1" si="1"/>
        <v>46116.588735879632</v>
      </c>
      <c r="Q49">
        <f t="shared" ca="1" si="2"/>
        <v>55</v>
      </c>
      <c r="R49">
        <f t="shared" si="3"/>
        <v>44469</v>
      </c>
    </row>
    <row r="50" spans="1:18"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O50" s="3">
        <f t="shared" ca="1" si="0"/>
        <v>46116</v>
      </c>
      <c r="P50" s="7">
        <f t="shared" ca="1" si="1"/>
        <v>46116.588735879632</v>
      </c>
      <c r="Q50">
        <f t="shared" ca="1" si="2"/>
        <v>50</v>
      </c>
      <c r="R50">
        <f t="shared" si="3"/>
        <v>44620</v>
      </c>
    </row>
    <row r="51" spans="1:18"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O51" s="3">
        <f t="shared" ca="1" si="0"/>
        <v>46116</v>
      </c>
      <c r="P51" s="7">
        <f t="shared" ca="1" si="1"/>
        <v>46116.588735879632</v>
      </c>
      <c r="Q51">
        <f t="shared" ca="1" si="2"/>
        <v>54</v>
      </c>
      <c r="R51">
        <f t="shared" si="3"/>
        <v>44530</v>
      </c>
    </row>
    <row r="52" spans="1:18"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O52" s="3">
        <f t="shared" ca="1" si="0"/>
        <v>46116</v>
      </c>
      <c r="P52" s="7">
        <f t="shared" ca="1" si="1"/>
        <v>46116.588735879632</v>
      </c>
      <c r="Q52">
        <f t="shared" ca="1" si="2"/>
        <v>37</v>
      </c>
      <c r="R52">
        <f t="shared" si="3"/>
        <v>45016</v>
      </c>
    </row>
    <row r="53" spans="1:18"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O53" s="3">
        <f t="shared" ca="1" si="0"/>
        <v>46116</v>
      </c>
      <c r="P53" s="7">
        <f t="shared" ca="1" si="1"/>
        <v>46116.588735879632</v>
      </c>
      <c r="Q53">
        <f t="shared" ca="1" si="2"/>
        <v>27</v>
      </c>
      <c r="R53">
        <f t="shared" si="3"/>
        <v>45322</v>
      </c>
    </row>
    <row r="54" spans="1:18"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O54" s="3">
        <f t="shared" ca="1" si="0"/>
        <v>46116</v>
      </c>
      <c r="P54" s="7">
        <f t="shared" ca="1" si="1"/>
        <v>46116.588735879632</v>
      </c>
      <c r="Q54">
        <f t="shared" ca="1" si="2"/>
        <v>30</v>
      </c>
      <c r="R54">
        <f t="shared" si="3"/>
        <v>45230</v>
      </c>
    </row>
    <row r="55" spans="1:18"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O55" s="3">
        <f t="shared" ca="1" si="0"/>
        <v>46116</v>
      </c>
      <c r="P55" s="7">
        <f t="shared" ca="1" si="1"/>
        <v>46116.588735879632</v>
      </c>
      <c r="Q55">
        <f t="shared" ca="1" si="2"/>
        <v>28</v>
      </c>
      <c r="R55">
        <f t="shared" si="3"/>
        <v>45291</v>
      </c>
    </row>
    <row r="56" spans="1:18"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O56" s="3">
        <f t="shared" ca="1" si="0"/>
        <v>46116</v>
      </c>
      <c r="P56" s="7">
        <f t="shared" ca="1" si="1"/>
        <v>46116.588735879632</v>
      </c>
      <c r="Q56">
        <f t="shared" ca="1" si="2"/>
        <v>27</v>
      </c>
      <c r="R56">
        <f t="shared" si="3"/>
        <v>45322</v>
      </c>
    </row>
    <row r="57" spans="1:18"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O57" s="3">
        <f t="shared" ca="1" si="0"/>
        <v>46116</v>
      </c>
      <c r="P57" s="7">
        <f t="shared" ca="1" si="1"/>
        <v>46116.588735879632</v>
      </c>
      <c r="Q57">
        <f t="shared" ca="1" si="2"/>
        <v>25</v>
      </c>
      <c r="R57">
        <f t="shared" si="3"/>
        <v>45412</v>
      </c>
    </row>
    <row r="58" spans="1:18"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O58" s="3">
        <f t="shared" ca="1" si="0"/>
        <v>46116</v>
      </c>
      <c r="P58" s="7">
        <f t="shared" ca="1" si="1"/>
        <v>46116.588735879632</v>
      </c>
      <c r="Q58">
        <f t="shared" ca="1" si="2"/>
        <v>55</v>
      </c>
      <c r="R58">
        <f t="shared" si="3"/>
        <v>44469</v>
      </c>
    </row>
    <row r="59" spans="1:18"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O59" s="3">
        <f t="shared" ca="1" si="0"/>
        <v>46116</v>
      </c>
      <c r="P59" s="7">
        <f t="shared" ca="1" si="1"/>
        <v>46116.588735879632</v>
      </c>
      <c r="Q59">
        <f t="shared" ca="1" si="2"/>
        <v>33</v>
      </c>
      <c r="R59">
        <f t="shared" si="3"/>
        <v>45138</v>
      </c>
    </row>
    <row r="60" spans="1:18"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O60" s="3">
        <f t="shared" ca="1" si="0"/>
        <v>46116</v>
      </c>
      <c r="P60" s="7">
        <f t="shared" ca="1" si="1"/>
        <v>46116.588735879632</v>
      </c>
      <c r="Q60">
        <f t="shared" ca="1" si="2"/>
        <v>36</v>
      </c>
      <c r="R60">
        <f t="shared" si="3"/>
        <v>45046</v>
      </c>
    </row>
    <row r="61" spans="1:18"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O61" s="3">
        <f t="shared" ca="1" si="0"/>
        <v>46116</v>
      </c>
      <c r="P61" s="7">
        <f t="shared" ca="1" si="1"/>
        <v>46116.588735879632</v>
      </c>
      <c r="Q61">
        <f t="shared" ca="1" si="2"/>
        <v>41</v>
      </c>
      <c r="R61">
        <f t="shared" si="3"/>
        <v>44895</v>
      </c>
    </row>
    <row r="62" spans="1:18"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O62" s="3">
        <f t="shared" ca="1" si="0"/>
        <v>46116</v>
      </c>
      <c r="P62" s="7">
        <f t="shared" ca="1" si="1"/>
        <v>46116.588735879632</v>
      </c>
      <c r="Q62">
        <f t="shared" ca="1" si="2"/>
        <v>27</v>
      </c>
      <c r="R62">
        <f t="shared" si="3"/>
        <v>45322</v>
      </c>
    </row>
    <row r="63" spans="1:18"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O63" s="3">
        <f t="shared" ca="1" si="0"/>
        <v>46116</v>
      </c>
      <c r="P63" s="7">
        <f t="shared" ca="1" si="1"/>
        <v>46116.588735879632</v>
      </c>
      <c r="Q63">
        <f t="shared" ca="1" si="2"/>
        <v>43</v>
      </c>
      <c r="R63">
        <f t="shared" si="3"/>
        <v>44834</v>
      </c>
    </row>
    <row r="64" spans="1:18"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O64" s="3">
        <f t="shared" ca="1" si="0"/>
        <v>46116</v>
      </c>
      <c r="P64" s="7">
        <f t="shared" ca="1" si="1"/>
        <v>46116.588735879632</v>
      </c>
      <c r="Q64">
        <f t="shared" ca="1" si="2"/>
        <v>49</v>
      </c>
      <c r="R64">
        <f t="shared" si="3"/>
        <v>44651</v>
      </c>
    </row>
    <row r="65" spans="1:18"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O65" s="3">
        <f t="shared" ca="1" si="0"/>
        <v>46116</v>
      </c>
      <c r="P65" s="7">
        <f t="shared" ca="1" si="1"/>
        <v>46116.588735879632</v>
      </c>
      <c r="Q65">
        <f t="shared" ca="1" si="2"/>
        <v>37</v>
      </c>
      <c r="R65">
        <f t="shared" si="3"/>
        <v>45016</v>
      </c>
    </row>
    <row r="66" spans="1:18"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O66" s="3">
        <f t="shared" ca="1" si="0"/>
        <v>46116</v>
      </c>
      <c r="P66" s="7">
        <f t="shared" ca="1" si="1"/>
        <v>46116.588735879632</v>
      </c>
      <c r="Q66">
        <f t="shared" ca="1" si="2"/>
        <v>55</v>
      </c>
      <c r="R66">
        <f t="shared" si="3"/>
        <v>44469</v>
      </c>
    </row>
    <row r="67" spans="1:18"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O67" s="3">
        <f t="shared" ca="1" si="0"/>
        <v>46116</v>
      </c>
      <c r="P67" s="7">
        <f t="shared" ca="1" si="1"/>
        <v>46116.588735879632</v>
      </c>
      <c r="Q67">
        <f t="shared" ca="1" si="2"/>
        <v>23</v>
      </c>
      <c r="R67">
        <f t="shared" si="3"/>
        <v>45443</v>
      </c>
    </row>
    <row r="68" spans="1:18"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O68" s="3">
        <f t="shared" ref="O68:O131" ca="1" si="4">TODAY()</f>
        <v>46116</v>
      </c>
      <c r="P68" s="7">
        <f t="shared" ref="P68:P131" ca="1" si="5">NOW()</f>
        <v>46116.588735879632</v>
      </c>
      <c r="Q68">
        <f t="shared" ref="Q68:Q131" ca="1" si="6">DATEDIF(M68, TODAY(), "M" )</f>
        <v>31</v>
      </c>
      <c r="R68">
        <f t="shared" ref="R68:R131" si="7">EOMONTH(M68,1)</f>
        <v>45199</v>
      </c>
    </row>
    <row r="69" spans="1:18"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O69" s="3">
        <f t="shared" ca="1" si="4"/>
        <v>46116</v>
      </c>
      <c r="P69" s="7">
        <f t="shared" ca="1" si="5"/>
        <v>46116.588735879632</v>
      </c>
      <c r="Q69">
        <f t="shared" ca="1" si="6"/>
        <v>52</v>
      </c>
      <c r="R69">
        <f t="shared" si="7"/>
        <v>44561</v>
      </c>
    </row>
    <row r="70" spans="1:18"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O70" s="3">
        <f t="shared" ca="1" si="4"/>
        <v>46116</v>
      </c>
      <c r="P70" s="7">
        <f t="shared" ca="1" si="5"/>
        <v>46116.588735879632</v>
      </c>
      <c r="Q70">
        <f t="shared" ca="1" si="6"/>
        <v>39</v>
      </c>
      <c r="R70">
        <f t="shared" si="7"/>
        <v>44957</v>
      </c>
    </row>
    <row r="71" spans="1:18"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O71" s="3">
        <f t="shared" ca="1" si="4"/>
        <v>46116</v>
      </c>
      <c r="P71" s="7">
        <f t="shared" ca="1" si="5"/>
        <v>46116.588735879632</v>
      </c>
      <c r="Q71">
        <f t="shared" ca="1" si="6"/>
        <v>40</v>
      </c>
      <c r="R71">
        <f t="shared" si="7"/>
        <v>44926</v>
      </c>
    </row>
    <row r="72" spans="1:18"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O72" s="3">
        <f t="shared" ca="1" si="4"/>
        <v>46116</v>
      </c>
      <c r="P72" s="7">
        <f t="shared" ca="1" si="5"/>
        <v>46116.588735879632</v>
      </c>
      <c r="Q72">
        <f t="shared" ca="1" si="6"/>
        <v>51</v>
      </c>
      <c r="R72">
        <f t="shared" si="7"/>
        <v>44592</v>
      </c>
    </row>
    <row r="73" spans="1:18"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O73" s="3">
        <f t="shared" ca="1" si="4"/>
        <v>46116</v>
      </c>
      <c r="P73" s="7">
        <f t="shared" ca="1" si="5"/>
        <v>46116.588735879632</v>
      </c>
      <c r="Q73">
        <f t="shared" ca="1" si="6"/>
        <v>32</v>
      </c>
      <c r="R73">
        <f t="shared" si="7"/>
        <v>45169</v>
      </c>
    </row>
    <row r="74" spans="1:18"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O74" s="3">
        <f t="shared" ca="1" si="4"/>
        <v>46116</v>
      </c>
      <c r="P74" s="7">
        <f t="shared" ca="1" si="5"/>
        <v>46116.588735879632</v>
      </c>
      <c r="Q74">
        <f t="shared" ca="1" si="6"/>
        <v>30</v>
      </c>
      <c r="R74">
        <f t="shared" si="7"/>
        <v>45230</v>
      </c>
    </row>
    <row r="75" spans="1:18"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O75" s="3">
        <f t="shared" ca="1" si="4"/>
        <v>46116</v>
      </c>
      <c r="P75" s="7">
        <f t="shared" ca="1" si="5"/>
        <v>46116.588735879632</v>
      </c>
      <c r="Q75">
        <f t="shared" ca="1" si="6"/>
        <v>28</v>
      </c>
      <c r="R75">
        <f t="shared" si="7"/>
        <v>45291</v>
      </c>
    </row>
    <row r="76" spans="1:18"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O76" s="3">
        <f t="shared" ca="1" si="4"/>
        <v>46116</v>
      </c>
      <c r="P76" s="7">
        <f t="shared" ca="1" si="5"/>
        <v>46116.588735879632</v>
      </c>
      <c r="Q76">
        <f t="shared" ca="1" si="6"/>
        <v>30</v>
      </c>
      <c r="R76">
        <f t="shared" si="7"/>
        <v>45230</v>
      </c>
    </row>
    <row r="77" spans="1:18"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O77" s="3">
        <f t="shared" ca="1" si="4"/>
        <v>46116</v>
      </c>
      <c r="P77" s="7">
        <f t="shared" ca="1" si="5"/>
        <v>46116.588735879632</v>
      </c>
      <c r="Q77">
        <f t="shared" ca="1" si="6"/>
        <v>40</v>
      </c>
      <c r="R77">
        <f t="shared" si="7"/>
        <v>44957</v>
      </c>
    </row>
    <row r="78" spans="1:18"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O78" s="3">
        <f t="shared" ca="1" si="4"/>
        <v>46116</v>
      </c>
      <c r="P78" s="7">
        <f t="shared" ca="1" si="5"/>
        <v>46116.588735879632</v>
      </c>
      <c r="Q78">
        <f t="shared" ca="1" si="6"/>
        <v>31</v>
      </c>
      <c r="R78">
        <f t="shared" si="7"/>
        <v>45199</v>
      </c>
    </row>
    <row r="79" spans="1:18"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O79" s="3">
        <f t="shared" ca="1" si="4"/>
        <v>46116</v>
      </c>
      <c r="P79" s="7">
        <f t="shared" ca="1" si="5"/>
        <v>46116.588735879632</v>
      </c>
      <c r="Q79">
        <f t="shared" ca="1" si="6"/>
        <v>32</v>
      </c>
      <c r="R79">
        <f t="shared" si="7"/>
        <v>45169</v>
      </c>
    </row>
    <row r="80" spans="1:18"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O80" s="3">
        <f t="shared" ca="1" si="4"/>
        <v>46116</v>
      </c>
      <c r="P80" s="7">
        <f t="shared" ca="1" si="5"/>
        <v>46116.588735879632</v>
      </c>
      <c r="Q80">
        <f t="shared" ca="1" si="6"/>
        <v>31</v>
      </c>
      <c r="R80">
        <f t="shared" si="7"/>
        <v>45199</v>
      </c>
    </row>
    <row r="81" spans="1:18"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O81" s="3">
        <f t="shared" ca="1" si="4"/>
        <v>46116</v>
      </c>
      <c r="P81" s="7">
        <f t="shared" ca="1" si="5"/>
        <v>46116.588735879632</v>
      </c>
      <c r="Q81">
        <f t="shared" ca="1" si="6"/>
        <v>37</v>
      </c>
      <c r="R81">
        <f t="shared" si="7"/>
        <v>45016</v>
      </c>
    </row>
    <row r="82" spans="1:18"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O82" s="3">
        <f t="shared" ca="1" si="4"/>
        <v>46116</v>
      </c>
      <c r="P82" s="7">
        <f t="shared" ca="1" si="5"/>
        <v>46116.588735879632</v>
      </c>
      <c r="Q82">
        <f t="shared" ca="1" si="6"/>
        <v>37</v>
      </c>
      <c r="R82">
        <f t="shared" si="7"/>
        <v>45016</v>
      </c>
    </row>
    <row r="83" spans="1:18"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O83" s="3">
        <f t="shared" ca="1" si="4"/>
        <v>46116</v>
      </c>
      <c r="P83" s="7">
        <f t="shared" ca="1" si="5"/>
        <v>46116.588735879632</v>
      </c>
      <c r="Q83">
        <f t="shared" ca="1" si="6"/>
        <v>45</v>
      </c>
      <c r="R83">
        <f t="shared" si="7"/>
        <v>44773</v>
      </c>
    </row>
    <row r="84" spans="1:18"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O84" s="3">
        <f t="shared" ca="1" si="4"/>
        <v>46116</v>
      </c>
      <c r="P84" s="7">
        <f t="shared" ca="1" si="5"/>
        <v>46116.588735879632</v>
      </c>
      <c r="Q84">
        <f t="shared" ca="1" si="6"/>
        <v>36</v>
      </c>
      <c r="R84">
        <f t="shared" si="7"/>
        <v>45046</v>
      </c>
    </row>
    <row r="85" spans="1:18"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O85" s="3">
        <f t="shared" ca="1" si="4"/>
        <v>46116</v>
      </c>
      <c r="P85" s="7">
        <f t="shared" ca="1" si="5"/>
        <v>46116.588735879632</v>
      </c>
      <c r="Q85">
        <f t="shared" ca="1" si="6"/>
        <v>52</v>
      </c>
      <c r="R85">
        <f t="shared" si="7"/>
        <v>44561</v>
      </c>
    </row>
    <row r="86" spans="1:18"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O86" s="3">
        <f t="shared" ca="1" si="4"/>
        <v>46116</v>
      </c>
      <c r="P86" s="7">
        <f t="shared" ca="1" si="5"/>
        <v>46116.588735879632</v>
      </c>
      <c r="Q86">
        <f t="shared" ca="1" si="6"/>
        <v>51</v>
      </c>
      <c r="R86">
        <f t="shared" si="7"/>
        <v>44592</v>
      </c>
    </row>
    <row r="87" spans="1:18"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O87" s="3">
        <f t="shared" ca="1" si="4"/>
        <v>46116</v>
      </c>
      <c r="P87" s="7">
        <f t="shared" ca="1" si="5"/>
        <v>46116.588735879632</v>
      </c>
      <c r="Q87">
        <f t="shared" ca="1" si="6"/>
        <v>47</v>
      </c>
      <c r="R87">
        <f t="shared" si="7"/>
        <v>44712</v>
      </c>
    </row>
    <row r="88" spans="1:18"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O88" s="3">
        <f t="shared" ca="1" si="4"/>
        <v>46116</v>
      </c>
      <c r="P88" s="7">
        <f t="shared" ca="1" si="5"/>
        <v>46116.588735879632</v>
      </c>
      <c r="Q88">
        <f t="shared" ca="1" si="6"/>
        <v>23</v>
      </c>
      <c r="R88">
        <f t="shared" si="7"/>
        <v>45443</v>
      </c>
    </row>
    <row r="89" spans="1:18"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O89" s="3">
        <f t="shared" ca="1" si="4"/>
        <v>46116</v>
      </c>
      <c r="P89" s="7">
        <f t="shared" ca="1" si="5"/>
        <v>46116.588735879632</v>
      </c>
      <c r="Q89">
        <f t="shared" ca="1" si="6"/>
        <v>37</v>
      </c>
      <c r="R89">
        <f t="shared" si="7"/>
        <v>45016</v>
      </c>
    </row>
    <row r="90" spans="1:18"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O90" s="3">
        <f t="shared" ca="1" si="4"/>
        <v>46116</v>
      </c>
      <c r="P90" s="7">
        <f t="shared" ca="1" si="5"/>
        <v>46116.588735879632</v>
      </c>
      <c r="Q90">
        <f t="shared" ca="1" si="6"/>
        <v>42</v>
      </c>
      <c r="R90">
        <f t="shared" si="7"/>
        <v>44865</v>
      </c>
    </row>
    <row r="91" spans="1:18"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O91" s="3">
        <f t="shared" ca="1" si="4"/>
        <v>46116</v>
      </c>
      <c r="P91" s="7">
        <f t="shared" ca="1" si="5"/>
        <v>46116.588735879632</v>
      </c>
      <c r="Q91">
        <f t="shared" ca="1" si="6"/>
        <v>43</v>
      </c>
      <c r="R91">
        <f t="shared" si="7"/>
        <v>44834</v>
      </c>
    </row>
    <row r="92" spans="1:18"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O92" s="3">
        <f t="shared" ca="1" si="4"/>
        <v>46116</v>
      </c>
      <c r="P92" s="7">
        <f t="shared" ca="1" si="5"/>
        <v>46116.588735879632</v>
      </c>
      <c r="Q92">
        <f t="shared" ca="1" si="6"/>
        <v>54</v>
      </c>
      <c r="R92">
        <f t="shared" si="7"/>
        <v>44500</v>
      </c>
    </row>
    <row r="93" spans="1:18"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O93" s="3">
        <f t="shared" ca="1" si="4"/>
        <v>46116</v>
      </c>
      <c r="P93" s="7">
        <f t="shared" ca="1" si="5"/>
        <v>46116.588735879632</v>
      </c>
      <c r="Q93">
        <f t="shared" ca="1" si="6"/>
        <v>54</v>
      </c>
      <c r="R93">
        <f t="shared" si="7"/>
        <v>44500</v>
      </c>
    </row>
    <row r="94" spans="1:18"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O94" s="3">
        <f t="shared" ca="1" si="4"/>
        <v>46116</v>
      </c>
      <c r="P94" s="7">
        <f t="shared" ca="1" si="5"/>
        <v>46116.588735879632</v>
      </c>
      <c r="Q94">
        <f t="shared" ca="1" si="6"/>
        <v>36</v>
      </c>
      <c r="R94">
        <f t="shared" si="7"/>
        <v>45046</v>
      </c>
    </row>
    <row r="95" spans="1:18"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O95" s="3">
        <f t="shared" ca="1" si="4"/>
        <v>46116</v>
      </c>
      <c r="P95" s="7">
        <f t="shared" ca="1" si="5"/>
        <v>46116.588735879632</v>
      </c>
      <c r="Q95">
        <f t="shared" ca="1" si="6"/>
        <v>37</v>
      </c>
      <c r="R95">
        <f t="shared" si="7"/>
        <v>45016</v>
      </c>
    </row>
    <row r="96" spans="1:18"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O96" s="3">
        <f t="shared" ca="1" si="4"/>
        <v>46116</v>
      </c>
      <c r="P96" s="7">
        <f t="shared" ca="1" si="5"/>
        <v>46116.588735879632</v>
      </c>
      <c r="Q96">
        <f t="shared" ca="1" si="6"/>
        <v>52</v>
      </c>
      <c r="R96">
        <f t="shared" si="7"/>
        <v>44561</v>
      </c>
    </row>
    <row r="97" spans="1:18"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O97" s="3">
        <f t="shared" ca="1" si="4"/>
        <v>46116</v>
      </c>
      <c r="P97" s="7">
        <f t="shared" ca="1" si="5"/>
        <v>46116.588735879632</v>
      </c>
      <c r="Q97">
        <f t="shared" ca="1" si="6"/>
        <v>50</v>
      </c>
      <c r="R97">
        <f t="shared" si="7"/>
        <v>44620</v>
      </c>
    </row>
    <row r="98" spans="1:18"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O98" s="3">
        <f t="shared" ca="1" si="4"/>
        <v>46116</v>
      </c>
      <c r="P98" s="7">
        <f t="shared" ca="1" si="5"/>
        <v>46116.588735879632</v>
      </c>
      <c r="Q98">
        <f t="shared" ca="1" si="6"/>
        <v>26</v>
      </c>
      <c r="R98">
        <f t="shared" si="7"/>
        <v>45351</v>
      </c>
    </row>
    <row r="99" spans="1:18"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O99" s="3">
        <f t="shared" ca="1" si="4"/>
        <v>46116</v>
      </c>
      <c r="P99" s="7">
        <f t="shared" ca="1" si="5"/>
        <v>46116.588735879632</v>
      </c>
      <c r="Q99">
        <f t="shared" ca="1" si="6"/>
        <v>43</v>
      </c>
      <c r="R99">
        <f t="shared" si="7"/>
        <v>44834</v>
      </c>
    </row>
    <row r="100" spans="1:18"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O100" s="3">
        <f t="shared" ca="1" si="4"/>
        <v>46116</v>
      </c>
      <c r="P100" s="7">
        <f t="shared" ca="1" si="5"/>
        <v>46116.588735879632</v>
      </c>
      <c r="Q100">
        <f t="shared" ca="1" si="6"/>
        <v>50</v>
      </c>
      <c r="R100">
        <f t="shared" si="7"/>
        <v>44620</v>
      </c>
    </row>
    <row r="101" spans="1:18"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O101" s="3">
        <f t="shared" ca="1" si="4"/>
        <v>46116</v>
      </c>
      <c r="P101" s="7">
        <f t="shared" ca="1" si="5"/>
        <v>46116.588735879632</v>
      </c>
      <c r="Q101">
        <f t="shared" ca="1" si="6"/>
        <v>53</v>
      </c>
      <c r="R101">
        <f t="shared" si="7"/>
        <v>44530</v>
      </c>
    </row>
    <row r="102" spans="1:18"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O102" s="3">
        <f t="shared" ca="1" si="4"/>
        <v>46116</v>
      </c>
      <c r="P102" s="7">
        <f t="shared" ca="1" si="5"/>
        <v>46116.588735879632</v>
      </c>
      <c r="Q102">
        <f t="shared" ca="1" si="6"/>
        <v>29</v>
      </c>
      <c r="R102">
        <f t="shared" si="7"/>
        <v>45260</v>
      </c>
    </row>
    <row r="103" spans="1:18"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O103" s="3">
        <f t="shared" ca="1" si="4"/>
        <v>46116</v>
      </c>
      <c r="P103" s="7">
        <f t="shared" ca="1" si="5"/>
        <v>46116.588735879632</v>
      </c>
      <c r="Q103">
        <f t="shared" ca="1" si="6"/>
        <v>55</v>
      </c>
      <c r="R103">
        <f t="shared" si="7"/>
        <v>44469</v>
      </c>
    </row>
    <row r="104" spans="1:18"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O104" s="3">
        <f t="shared" ca="1" si="4"/>
        <v>46116</v>
      </c>
      <c r="P104" s="7">
        <f t="shared" ca="1" si="5"/>
        <v>46116.588735879632</v>
      </c>
      <c r="Q104">
        <f t="shared" ca="1" si="6"/>
        <v>47</v>
      </c>
      <c r="R104">
        <f t="shared" si="7"/>
        <v>44742</v>
      </c>
    </row>
    <row r="105" spans="1:18"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O105" s="3">
        <f t="shared" ca="1" si="4"/>
        <v>46116</v>
      </c>
      <c r="P105" s="7">
        <f t="shared" ca="1" si="5"/>
        <v>46116.588735879632</v>
      </c>
      <c r="Q105">
        <f t="shared" ca="1" si="6"/>
        <v>25</v>
      </c>
      <c r="R105">
        <f t="shared" si="7"/>
        <v>45382</v>
      </c>
    </row>
    <row r="106" spans="1:18"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O106" s="3">
        <f t="shared" ca="1" si="4"/>
        <v>46116</v>
      </c>
      <c r="P106" s="7">
        <f t="shared" ca="1" si="5"/>
        <v>46116.588735879632</v>
      </c>
      <c r="Q106">
        <f t="shared" ca="1" si="6"/>
        <v>40</v>
      </c>
      <c r="R106">
        <f t="shared" si="7"/>
        <v>44926</v>
      </c>
    </row>
    <row r="107" spans="1:18"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O107" s="3">
        <f t="shared" ca="1" si="4"/>
        <v>46116</v>
      </c>
      <c r="P107" s="7">
        <f t="shared" ca="1" si="5"/>
        <v>46116.588735879632</v>
      </c>
      <c r="Q107">
        <f t="shared" ca="1" si="6"/>
        <v>45</v>
      </c>
      <c r="R107">
        <f t="shared" si="7"/>
        <v>44773</v>
      </c>
    </row>
    <row r="108" spans="1:18"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O108" s="3">
        <f t="shared" ca="1" si="4"/>
        <v>46116</v>
      </c>
      <c r="P108" s="7">
        <f t="shared" ca="1" si="5"/>
        <v>46116.588735879632</v>
      </c>
      <c r="Q108">
        <f t="shared" ca="1" si="6"/>
        <v>44</v>
      </c>
      <c r="R108">
        <f t="shared" si="7"/>
        <v>44804</v>
      </c>
    </row>
    <row r="109" spans="1:18"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O109" s="3">
        <f t="shared" ca="1" si="4"/>
        <v>46116</v>
      </c>
      <c r="P109" s="7">
        <f t="shared" ca="1" si="5"/>
        <v>46116.588735879632</v>
      </c>
      <c r="Q109">
        <f t="shared" ca="1" si="6"/>
        <v>52</v>
      </c>
      <c r="R109">
        <f t="shared" si="7"/>
        <v>44561</v>
      </c>
    </row>
    <row r="110" spans="1:18"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O110" s="3">
        <f t="shared" ca="1" si="4"/>
        <v>46116</v>
      </c>
      <c r="P110" s="7">
        <f t="shared" ca="1" si="5"/>
        <v>46116.588735879632</v>
      </c>
      <c r="Q110">
        <f t="shared" ca="1" si="6"/>
        <v>46</v>
      </c>
      <c r="R110">
        <f t="shared" si="7"/>
        <v>44742</v>
      </c>
    </row>
    <row r="111" spans="1:18"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O111" s="3">
        <f t="shared" ca="1" si="4"/>
        <v>46116</v>
      </c>
      <c r="P111" s="7">
        <f t="shared" ca="1" si="5"/>
        <v>46116.588735879632</v>
      </c>
      <c r="Q111">
        <f t="shared" ca="1" si="6"/>
        <v>53</v>
      </c>
      <c r="R111">
        <f t="shared" si="7"/>
        <v>44530</v>
      </c>
    </row>
    <row r="112" spans="1:18"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O112" s="3">
        <f t="shared" ca="1" si="4"/>
        <v>46116</v>
      </c>
      <c r="P112" s="7">
        <f t="shared" ca="1" si="5"/>
        <v>46116.588735879632</v>
      </c>
      <c r="Q112">
        <f t="shared" ca="1" si="6"/>
        <v>48</v>
      </c>
      <c r="R112">
        <f t="shared" si="7"/>
        <v>44681</v>
      </c>
    </row>
    <row r="113" spans="1:18"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O113" s="3">
        <f t="shared" ca="1" si="4"/>
        <v>46116</v>
      </c>
      <c r="P113" s="7">
        <f t="shared" ca="1" si="5"/>
        <v>46116.588735879632</v>
      </c>
      <c r="Q113">
        <f t="shared" ca="1" si="6"/>
        <v>39</v>
      </c>
      <c r="R113">
        <f t="shared" si="7"/>
        <v>44957</v>
      </c>
    </row>
    <row r="114" spans="1:18"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O114" s="3">
        <f t="shared" ca="1" si="4"/>
        <v>46116</v>
      </c>
      <c r="P114" s="7">
        <f t="shared" ca="1" si="5"/>
        <v>46116.588735879632</v>
      </c>
      <c r="Q114">
        <f t="shared" ca="1" si="6"/>
        <v>36</v>
      </c>
      <c r="R114">
        <f t="shared" si="7"/>
        <v>45046</v>
      </c>
    </row>
    <row r="115" spans="1:18"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O115" s="3">
        <f t="shared" ca="1" si="4"/>
        <v>46116</v>
      </c>
      <c r="P115" s="7">
        <f t="shared" ca="1" si="5"/>
        <v>46116.588735879632</v>
      </c>
      <c r="Q115">
        <f t="shared" ca="1" si="6"/>
        <v>54</v>
      </c>
      <c r="R115">
        <f t="shared" si="7"/>
        <v>44500</v>
      </c>
    </row>
    <row r="116" spans="1:18"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O116" s="3">
        <f t="shared" ca="1" si="4"/>
        <v>46116</v>
      </c>
      <c r="P116" s="7">
        <f t="shared" ca="1" si="5"/>
        <v>46116.588735879632</v>
      </c>
      <c r="Q116">
        <f t="shared" ca="1" si="6"/>
        <v>54</v>
      </c>
      <c r="R116">
        <f t="shared" si="7"/>
        <v>44500</v>
      </c>
    </row>
    <row r="117" spans="1:18"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O117" s="3">
        <f t="shared" ca="1" si="4"/>
        <v>46116</v>
      </c>
      <c r="P117" s="7">
        <f t="shared" ca="1" si="5"/>
        <v>46116.588735879632</v>
      </c>
      <c r="Q117">
        <f t="shared" ca="1" si="6"/>
        <v>53</v>
      </c>
      <c r="R117">
        <f t="shared" si="7"/>
        <v>44530</v>
      </c>
    </row>
    <row r="118" spans="1:18"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O118" s="3">
        <f t="shared" ca="1" si="4"/>
        <v>46116</v>
      </c>
      <c r="P118" s="7">
        <f t="shared" ca="1" si="5"/>
        <v>46116.588735879632</v>
      </c>
      <c r="Q118">
        <f t="shared" ca="1" si="6"/>
        <v>49</v>
      </c>
      <c r="R118">
        <f t="shared" si="7"/>
        <v>44651</v>
      </c>
    </row>
    <row r="119" spans="1:18"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O119" s="3">
        <f t="shared" ca="1" si="4"/>
        <v>46116</v>
      </c>
      <c r="P119" s="7">
        <f t="shared" ca="1" si="5"/>
        <v>46116.588735879632</v>
      </c>
      <c r="Q119">
        <f t="shared" ca="1" si="6"/>
        <v>31</v>
      </c>
      <c r="R119">
        <f t="shared" si="7"/>
        <v>45199</v>
      </c>
    </row>
    <row r="120" spans="1:18"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O120" s="3">
        <f t="shared" ca="1" si="4"/>
        <v>46116</v>
      </c>
      <c r="P120" s="7">
        <f t="shared" ca="1" si="5"/>
        <v>46116.588735879632</v>
      </c>
      <c r="Q120">
        <f t="shared" ca="1" si="6"/>
        <v>40</v>
      </c>
      <c r="R120">
        <f t="shared" si="7"/>
        <v>44926</v>
      </c>
    </row>
    <row r="121" spans="1:18"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O121" s="3">
        <f t="shared" ca="1" si="4"/>
        <v>46116</v>
      </c>
      <c r="P121" s="7">
        <f t="shared" ca="1" si="5"/>
        <v>46116.588735879632</v>
      </c>
      <c r="Q121">
        <f t="shared" ca="1" si="6"/>
        <v>50</v>
      </c>
      <c r="R121">
        <f t="shared" si="7"/>
        <v>44620</v>
      </c>
    </row>
    <row r="122" spans="1:18"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O122" s="3">
        <f t="shared" ca="1" si="4"/>
        <v>46116</v>
      </c>
      <c r="P122" s="7">
        <f t="shared" ca="1" si="5"/>
        <v>46116.588735879632</v>
      </c>
      <c r="Q122">
        <f t="shared" ca="1" si="6"/>
        <v>38</v>
      </c>
      <c r="R122">
        <f t="shared" si="7"/>
        <v>44985</v>
      </c>
    </row>
    <row r="123" spans="1:18"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O123" s="3">
        <f t="shared" ca="1" si="4"/>
        <v>46116</v>
      </c>
      <c r="P123" s="7">
        <f t="shared" ca="1" si="5"/>
        <v>46116.588735879632</v>
      </c>
      <c r="Q123">
        <f t="shared" ca="1" si="6"/>
        <v>54</v>
      </c>
      <c r="R123">
        <f t="shared" si="7"/>
        <v>44500</v>
      </c>
    </row>
    <row r="124" spans="1:18"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O124" s="3">
        <f t="shared" ca="1" si="4"/>
        <v>46116</v>
      </c>
      <c r="P124" s="7">
        <f t="shared" ca="1" si="5"/>
        <v>46116.588735879632</v>
      </c>
      <c r="Q124">
        <f t="shared" ca="1" si="6"/>
        <v>50</v>
      </c>
      <c r="R124">
        <f t="shared" si="7"/>
        <v>44620</v>
      </c>
    </row>
    <row r="125" spans="1:18"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O125" s="3">
        <f t="shared" ca="1" si="4"/>
        <v>46116</v>
      </c>
      <c r="P125" s="7">
        <f t="shared" ca="1" si="5"/>
        <v>46116.588735879632</v>
      </c>
      <c r="Q125">
        <f t="shared" ca="1" si="6"/>
        <v>34</v>
      </c>
      <c r="R125">
        <f t="shared" si="7"/>
        <v>45107</v>
      </c>
    </row>
    <row r="126" spans="1:18"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O126" s="3">
        <f t="shared" ca="1" si="4"/>
        <v>46116</v>
      </c>
      <c r="P126" s="7">
        <f t="shared" ca="1" si="5"/>
        <v>46116.588735879632</v>
      </c>
      <c r="Q126">
        <f t="shared" ca="1" si="6"/>
        <v>27</v>
      </c>
      <c r="R126">
        <f t="shared" si="7"/>
        <v>45322</v>
      </c>
    </row>
    <row r="127" spans="1:18"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O127" s="3">
        <f t="shared" ca="1" si="4"/>
        <v>46116</v>
      </c>
      <c r="P127" s="7">
        <f t="shared" ca="1" si="5"/>
        <v>46116.588735879632</v>
      </c>
      <c r="Q127">
        <f t="shared" ca="1" si="6"/>
        <v>38</v>
      </c>
      <c r="R127">
        <f t="shared" si="7"/>
        <v>44985</v>
      </c>
    </row>
    <row r="128" spans="1:18"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O128" s="3">
        <f t="shared" ca="1" si="4"/>
        <v>46116</v>
      </c>
      <c r="P128" s="7">
        <f t="shared" ca="1" si="5"/>
        <v>46116.588735879632</v>
      </c>
      <c r="Q128">
        <f t="shared" ca="1" si="6"/>
        <v>30</v>
      </c>
      <c r="R128">
        <f t="shared" si="7"/>
        <v>45230</v>
      </c>
    </row>
    <row r="129" spans="1:18"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O129" s="3">
        <f t="shared" ca="1" si="4"/>
        <v>46116</v>
      </c>
      <c r="P129" s="7">
        <f t="shared" ca="1" si="5"/>
        <v>46116.588735879632</v>
      </c>
      <c r="Q129">
        <f t="shared" ca="1" si="6"/>
        <v>29</v>
      </c>
      <c r="R129">
        <f t="shared" si="7"/>
        <v>45260</v>
      </c>
    </row>
    <row r="130" spans="1:18"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O130" s="3">
        <f t="shared" ca="1" si="4"/>
        <v>46116</v>
      </c>
      <c r="P130" s="7">
        <f t="shared" ca="1" si="5"/>
        <v>46116.588735879632</v>
      </c>
      <c r="Q130">
        <f t="shared" ca="1" si="6"/>
        <v>36</v>
      </c>
      <c r="R130">
        <f t="shared" si="7"/>
        <v>45046</v>
      </c>
    </row>
    <row r="131" spans="1:18"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O131" s="3">
        <f t="shared" ca="1" si="4"/>
        <v>46116</v>
      </c>
      <c r="P131" s="7">
        <f t="shared" ca="1" si="5"/>
        <v>46116.588735879632</v>
      </c>
      <c r="Q131">
        <f t="shared" ca="1" si="6"/>
        <v>24</v>
      </c>
      <c r="R131">
        <f t="shared" si="7"/>
        <v>45443</v>
      </c>
    </row>
    <row r="132" spans="1:18"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O132" s="3">
        <f t="shared" ref="O132:O195" ca="1" si="8">TODAY()</f>
        <v>46116</v>
      </c>
      <c r="P132" s="7">
        <f t="shared" ref="P132:P195" ca="1" si="9">NOW()</f>
        <v>46116.588735879632</v>
      </c>
      <c r="Q132">
        <f t="shared" ref="Q132:Q195" ca="1" si="10">DATEDIF(M132, TODAY(), "M" )</f>
        <v>24</v>
      </c>
      <c r="R132">
        <f t="shared" ref="R132:R195" si="11">EOMONTH(M132,1)</f>
        <v>45412</v>
      </c>
    </row>
    <row r="133" spans="1:18"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O133" s="3">
        <f t="shared" ca="1" si="8"/>
        <v>46116</v>
      </c>
      <c r="P133" s="7">
        <f t="shared" ca="1" si="9"/>
        <v>46116.588735879632</v>
      </c>
      <c r="Q133">
        <f t="shared" ca="1" si="10"/>
        <v>39</v>
      </c>
      <c r="R133">
        <f t="shared" si="11"/>
        <v>44957</v>
      </c>
    </row>
    <row r="134" spans="1:18"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O134" s="3">
        <f t="shared" ca="1" si="8"/>
        <v>46116</v>
      </c>
      <c r="P134" s="7">
        <f t="shared" ca="1" si="9"/>
        <v>46116.588735879632</v>
      </c>
      <c r="Q134">
        <f t="shared" ca="1" si="10"/>
        <v>51</v>
      </c>
      <c r="R134">
        <f t="shared" si="11"/>
        <v>44592</v>
      </c>
    </row>
    <row r="135" spans="1:18"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O135" s="3">
        <f t="shared" ca="1" si="8"/>
        <v>46116</v>
      </c>
      <c r="P135" s="7">
        <f t="shared" ca="1" si="9"/>
        <v>46116.588735879632</v>
      </c>
      <c r="Q135">
        <f t="shared" ca="1" si="10"/>
        <v>54</v>
      </c>
      <c r="R135">
        <f t="shared" si="11"/>
        <v>44530</v>
      </c>
    </row>
    <row r="136" spans="1:18"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O136" s="3">
        <f t="shared" ca="1" si="8"/>
        <v>46116</v>
      </c>
      <c r="P136" s="7">
        <f t="shared" ca="1" si="9"/>
        <v>46116.588735879632</v>
      </c>
      <c r="Q136">
        <f t="shared" ca="1" si="10"/>
        <v>36</v>
      </c>
      <c r="R136">
        <f t="shared" si="11"/>
        <v>45046</v>
      </c>
    </row>
    <row r="137" spans="1:18"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O137" s="3">
        <f t="shared" ca="1" si="8"/>
        <v>46116</v>
      </c>
      <c r="P137" s="7">
        <f t="shared" ca="1" si="9"/>
        <v>46116.588735879632</v>
      </c>
      <c r="Q137">
        <f t="shared" ca="1" si="10"/>
        <v>48</v>
      </c>
      <c r="R137">
        <f t="shared" si="11"/>
        <v>44681</v>
      </c>
    </row>
    <row r="138" spans="1:18"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O138" s="3">
        <f t="shared" ca="1" si="8"/>
        <v>46116</v>
      </c>
      <c r="P138" s="7">
        <f t="shared" ca="1" si="9"/>
        <v>46116.588735879632</v>
      </c>
      <c r="Q138">
        <f t="shared" ca="1" si="10"/>
        <v>49</v>
      </c>
      <c r="R138">
        <f t="shared" si="11"/>
        <v>44651</v>
      </c>
    </row>
    <row r="139" spans="1:18"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O139" s="3">
        <f t="shared" ca="1" si="8"/>
        <v>46116</v>
      </c>
      <c r="P139" s="7">
        <f t="shared" ca="1" si="9"/>
        <v>46116.588735879632</v>
      </c>
      <c r="Q139">
        <f t="shared" ca="1" si="10"/>
        <v>40</v>
      </c>
      <c r="R139">
        <f t="shared" si="11"/>
        <v>44926</v>
      </c>
    </row>
    <row r="140" spans="1:18"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O140" s="3">
        <f t="shared" ca="1" si="8"/>
        <v>46116</v>
      </c>
      <c r="P140" s="7">
        <f t="shared" ca="1" si="9"/>
        <v>46116.588735879632</v>
      </c>
      <c r="Q140">
        <f t="shared" ca="1" si="10"/>
        <v>53</v>
      </c>
      <c r="R140">
        <f t="shared" si="11"/>
        <v>44561</v>
      </c>
    </row>
    <row r="141" spans="1:18"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O141" s="3">
        <f t="shared" ca="1" si="8"/>
        <v>46116</v>
      </c>
      <c r="P141" s="7">
        <f t="shared" ca="1" si="9"/>
        <v>46116.588735879632</v>
      </c>
      <c r="Q141">
        <f t="shared" ca="1" si="10"/>
        <v>55</v>
      </c>
      <c r="R141">
        <f t="shared" si="11"/>
        <v>44469</v>
      </c>
    </row>
    <row r="142" spans="1:18"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O142" s="3">
        <f t="shared" ca="1" si="8"/>
        <v>46116</v>
      </c>
      <c r="P142" s="7">
        <f t="shared" ca="1" si="9"/>
        <v>46116.588735879632</v>
      </c>
      <c r="Q142">
        <f t="shared" ca="1" si="10"/>
        <v>41</v>
      </c>
      <c r="R142">
        <f t="shared" si="11"/>
        <v>44895</v>
      </c>
    </row>
    <row r="143" spans="1:18"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O143" s="3">
        <f t="shared" ca="1" si="8"/>
        <v>46116</v>
      </c>
      <c r="P143" s="7">
        <f t="shared" ca="1" si="9"/>
        <v>46116.588735879632</v>
      </c>
      <c r="Q143">
        <f t="shared" ca="1" si="10"/>
        <v>42</v>
      </c>
      <c r="R143">
        <f t="shared" si="11"/>
        <v>44865</v>
      </c>
    </row>
    <row r="144" spans="1:18"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O144" s="3">
        <f t="shared" ca="1" si="8"/>
        <v>46116</v>
      </c>
      <c r="P144" s="7">
        <f t="shared" ca="1" si="9"/>
        <v>46116.588735879632</v>
      </c>
      <c r="Q144">
        <f t="shared" ca="1" si="10"/>
        <v>44</v>
      </c>
      <c r="R144">
        <f t="shared" si="11"/>
        <v>44804</v>
      </c>
    </row>
    <row r="145" spans="1:18"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O145" s="3">
        <f t="shared" ca="1" si="8"/>
        <v>46116</v>
      </c>
      <c r="P145" s="7">
        <f t="shared" ca="1" si="9"/>
        <v>46116.588735879632</v>
      </c>
      <c r="Q145">
        <f t="shared" ca="1" si="10"/>
        <v>46</v>
      </c>
      <c r="R145">
        <f t="shared" si="11"/>
        <v>44742</v>
      </c>
    </row>
    <row r="146" spans="1:18"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O146" s="3">
        <f t="shared" ca="1" si="8"/>
        <v>46116</v>
      </c>
      <c r="P146" s="7">
        <f t="shared" ca="1" si="9"/>
        <v>46116.588735879632</v>
      </c>
      <c r="Q146">
        <f t="shared" ca="1" si="10"/>
        <v>47</v>
      </c>
      <c r="R146">
        <f t="shared" si="11"/>
        <v>44712</v>
      </c>
    </row>
    <row r="147" spans="1:18"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O147" s="3">
        <f t="shared" ca="1" si="8"/>
        <v>46116</v>
      </c>
      <c r="P147" s="7">
        <f t="shared" ca="1" si="9"/>
        <v>46116.588735879632</v>
      </c>
      <c r="Q147">
        <f t="shared" ca="1" si="10"/>
        <v>39</v>
      </c>
      <c r="R147">
        <f t="shared" si="11"/>
        <v>44957</v>
      </c>
    </row>
    <row r="148" spans="1:18"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O148" s="3">
        <f t="shared" ca="1" si="8"/>
        <v>46116</v>
      </c>
      <c r="P148" s="7">
        <f t="shared" ca="1" si="9"/>
        <v>46116.588735879632</v>
      </c>
      <c r="Q148">
        <f t="shared" ca="1" si="10"/>
        <v>28</v>
      </c>
      <c r="R148">
        <f t="shared" si="11"/>
        <v>45291</v>
      </c>
    </row>
    <row r="149" spans="1:18"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O149" s="3">
        <f t="shared" ca="1" si="8"/>
        <v>46116</v>
      </c>
      <c r="P149" s="7">
        <f t="shared" ca="1" si="9"/>
        <v>46116.588735879632</v>
      </c>
      <c r="Q149">
        <f t="shared" ca="1" si="10"/>
        <v>41</v>
      </c>
      <c r="R149">
        <f t="shared" si="11"/>
        <v>44926</v>
      </c>
    </row>
    <row r="150" spans="1:18"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O150" s="3">
        <f t="shared" ca="1" si="8"/>
        <v>46116</v>
      </c>
      <c r="P150" s="7">
        <f t="shared" ca="1" si="9"/>
        <v>46116.588735879632</v>
      </c>
      <c r="Q150">
        <f t="shared" ca="1" si="10"/>
        <v>44</v>
      </c>
      <c r="R150">
        <f t="shared" si="11"/>
        <v>44804</v>
      </c>
    </row>
    <row r="151" spans="1:18"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O151" s="3">
        <f t="shared" ca="1" si="8"/>
        <v>46116</v>
      </c>
      <c r="P151" s="7">
        <f t="shared" ca="1" si="9"/>
        <v>46116.588735879632</v>
      </c>
      <c r="Q151">
        <f t="shared" ca="1" si="10"/>
        <v>55</v>
      </c>
      <c r="R151">
        <f t="shared" si="11"/>
        <v>44469</v>
      </c>
    </row>
    <row r="152" spans="1:18"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O152" s="3">
        <f t="shared" ca="1" si="8"/>
        <v>46116</v>
      </c>
      <c r="P152" s="7">
        <f t="shared" ca="1" si="9"/>
        <v>46116.588735879632</v>
      </c>
      <c r="Q152">
        <f t="shared" ca="1" si="10"/>
        <v>51</v>
      </c>
      <c r="R152">
        <f t="shared" si="11"/>
        <v>44592</v>
      </c>
    </row>
    <row r="153" spans="1:18"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O153" s="3">
        <f t="shared" ca="1" si="8"/>
        <v>46116</v>
      </c>
      <c r="P153" s="7">
        <f t="shared" ca="1" si="9"/>
        <v>46116.588735879632</v>
      </c>
      <c r="Q153">
        <f t="shared" ca="1" si="10"/>
        <v>50</v>
      </c>
      <c r="R153">
        <f t="shared" si="11"/>
        <v>44620</v>
      </c>
    </row>
    <row r="154" spans="1:18"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O154" s="3">
        <f t="shared" ca="1" si="8"/>
        <v>46116</v>
      </c>
      <c r="P154" s="7">
        <f t="shared" ca="1" si="9"/>
        <v>46116.588735879632</v>
      </c>
      <c r="Q154">
        <f t="shared" ca="1" si="10"/>
        <v>40</v>
      </c>
      <c r="R154">
        <f t="shared" si="11"/>
        <v>44926</v>
      </c>
    </row>
    <row r="155" spans="1:18"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O155" s="3">
        <f t="shared" ca="1" si="8"/>
        <v>46116</v>
      </c>
      <c r="P155" s="7">
        <f t="shared" ca="1" si="9"/>
        <v>46116.588735879632</v>
      </c>
      <c r="Q155">
        <f t="shared" ca="1" si="10"/>
        <v>33</v>
      </c>
      <c r="R155">
        <f t="shared" si="11"/>
        <v>45138</v>
      </c>
    </row>
    <row r="156" spans="1:18"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O156" s="3">
        <f t="shared" ca="1" si="8"/>
        <v>46116</v>
      </c>
      <c r="P156" s="7">
        <f t="shared" ca="1" si="9"/>
        <v>46116.588735879632</v>
      </c>
      <c r="Q156">
        <f t="shared" ca="1" si="10"/>
        <v>47</v>
      </c>
      <c r="R156">
        <f t="shared" si="11"/>
        <v>44712</v>
      </c>
    </row>
    <row r="157" spans="1:18"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O157" s="3">
        <f t="shared" ca="1" si="8"/>
        <v>46116</v>
      </c>
      <c r="P157" s="7">
        <f t="shared" ca="1" si="9"/>
        <v>46116.588735879632</v>
      </c>
      <c r="Q157">
        <f t="shared" ca="1" si="10"/>
        <v>53</v>
      </c>
      <c r="R157">
        <f t="shared" si="11"/>
        <v>44530</v>
      </c>
    </row>
    <row r="158" spans="1:18"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O158" s="3">
        <f t="shared" ca="1" si="8"/>
        <v>46116</v>
      </c>
      <c r="P158" s="7">
        <f t="shared" ca="1" si="9"/>
        <v>46116.588735879632</v>
      </c>
      <c r="Q158">
        <f t="shared" ca="1" si="10"/>
        <v>53</v>
      </c>
      <c r="R158">
        <f t="shared" si="11"/>
        <v>44530</v>
      </c>
    </row>
    <row r="159" spans="1:18"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O159" s="3">
        <f t="shared" ca="1" si="8"/>
        <v>46116</v>
      </c>
      <c r="P159" s="7">
        <f t="shared" ca="1" si="9"/>
        <v>46116.588735879632</v>
      </c>
      <c r="Q159">
        <f t="shared" ca="1" si="10"/>
        <v>38</v>
      </c>
      <c r="R159">
        <f t="shared" si="11"/>
        <v>44985</v>
      </c>
    </row>
    <row r="160" spans="1:18"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O160" s="3">
        <f t="shared" ca="1" si="8"/>
        <v>46116</v>
      </c>
      <c r="P160" s="7">
        <f t="shared" ca="1" si="9"/>
        <v>46116.588735879632</v>
      </c>
      <c r="Q160">
        <f t="shared" ca="1" si="10"/>
        <v>33</v>
      </c>
      <c r="R160">
        <f t="shared" si="11"/>
        <v>45138</v>
      </c>
    </row>
    <row r="161" spans="1:18"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O161" s="3">
        <f t="shared" ca="1" si="8"/>
        <v>46116</v>
      </c>
      <c r="P161" s="7">
        <f t="shared" ca="1" si="9"/>
        <v>46116.588735879632</v>
      </c>
      <c r="Q161">
        <f t="shared" ca="1" si="10"/>
        <v>46</v>
      </c>
      <c r="R161">
        <f t="shared" si="11"/>
        <v>44742</v>
      </c>
    </row>
    <row r="162" spans="1:18"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O162" s="3">
        <f t="shared" ca="1" si="8"/>
        <v>46116</v>
      </c>
      <c r="P162" s="7">
        <f t="shared" ca="1" si="9"/>
        <v>46116.588735879632</v>
      </c>
      <c r="Q162">
        <f t="shared" ca="1" si="10"/>
        <v>56</v>
      </c>
      <c r="R162">
        <f t="shared" si="11"/>
        <v>44439</v>
      </c>
    </row>
    <row r="163" spans="1:18"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O163" s="3">
        <f t="shared" ca="1" si="8"/>
        <v>46116</v>
      </c>
      <c r="P163" s="7">
        <f t="shared" ca="1" si="9"/>
        <v>46116.588735879632</v>
      </c>
      <c r="Q163">
        <f t="shared" ca="1" si="10"/>
        <v>34</v>
      </c>
      <c r="R163">
        <f t="shared" si="11"/>
        <v>45107</v>
      </c>
    </row>
    <row r="164" spans="1:18"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O164" s="3">
        <f t="shared" ca="1" si="8"/>
        <v>46116</v>
      </c>
      <c r="P164" s="7">
        <f t="shared" ca="1" si="9"/>
        <v>46116.588735879632</v>
      </c>
      <c r="Q164">
        <f t="shared" ca="1" si="10"/>
        <v>39</v>
      </c>
      <c r="R164">
        <f t="shared" si="11"/>
        <v>44957</v>
      </c>
    </row>
    <row r="165" spans="1:18"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O165" s="3">
        <f t="shared" ca="1" si="8"/>
        <v>46116</v>
      </c>
      <c r="P165" s="7">
        <f t="shared" ca="1" si="9"/>
        <v>46116.588735879632</v>
      </c>
      <c r="Q165">
        <f t="shared" ca="1" si="10"/>
        <v>43</v>
      </c>
      <c r="R165">
        <f t="shared" si="11"/>
        <v>44834</v>
      </c>
    </row>
    <row r="166" spans="1:18"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O166" s="3">
        <f t="shared" ca="1" si="8"/>
        <v>46116</v>
      </c>
      <c r="P166" s="7">
        <f t="shared" ca="1" si="9"/>
        <v>46116.588735879632</v>
      </c>
      <c r="Q166">
        <f t="shared" ca="1" si="10"/>
        <v>56</v>
      </c>
      <c r="R166">
        <f t="shared" si="11"/>
        <v>44439</v>
      </c>
    </row>
    <row r="167" spans="1:18"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O167" s="3">
        <f t="shared" ca="1" si="8"/>
        <v>46116</v>
      </c>
      <c r="P167" s="7">
        <f t="shared" ca="1" si="9"/>
        <v>46116.588735879632</v>
      </c>
      <c r="Q167">
        <f t="shared" ca="1" si="10"/>
        <v>30</v>
      </c>
      <c r="R167">
        <f t="shared" si="11"/>
        <v>45260</v>
      </c>
    </row>
    <row r="168" spans="1:18"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O168" s="3">
        <f t="shared" ca="1" si="8"/>
        <v>46116</v>
      </c>
      <c r="P168" s="7">
        <f t="shared" ca="1" si="9"/>
        <v>46116.588735879632</v>
      </c>
      <c r="Q168">
        <f t="shared" ca="1" si="10"/>
        <v>45</v>
      </c>
      <c r="R168">
        <f t="shared" si="11"/>
        <v>44773</v>
      </c>
    </row>
    <row r="169" spans="1:18"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O169" s="3">
        <f t="shared" ca="1" si="8"/>
        <v>46116</v>
      </c>
      <c r="P169" s="7">
        <f t="shared" ca="1" si="9"/>
        <v>46116.588735879632</v>
      </c>
      <c r="Q169">
        <f t="shared" ca="1" si="10"/>
        <v>30</v>
      </c>
      <c r="R169">
        <f t="shared" si="11"/>
        <v>45230</v>
      </c>
    </row>
    <row r="170" spans="1:18"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O170" s="3">
        <f t="shared" ca="1" si="8"/>
        <v>46116</v>
      </c>
      <c r="P170" s="7">
        <f t="shared" ca="1" si="9"/>
        <v>46116.588735879632</v>
      </c>
      <c r="Q170">
        <f t="shared" ca="1" si="10"/>
        <v>44</v>
      </c>
      <c r="R170">
        <f t="shared" si="11"/>
        <v>44804</v>
      </c>
    </row>
    <row r="171" spans="1:18"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O171" s="3">
        <f t="shared" ca="1" si="8"/>
        <v>46116</v>
      </c>
      <c r="P171" s="7">
        <f t="shared" ca="1" si="9"/>
        <v>46116.588735879632</v>
      </c>
      <c r="Q171">
        <f t="shared" ca="1" si="10"/>
        <v>48</v>
      </c>
      <c r="R171">
        <f t="shared" si="11"/>
        <v>44681</v>
      </c>
    </row>
    <row r="172" spans="1:18"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O172" s="3">
        <f t="shared" ca="1" si="8"/>
        <v>46116</v>
      </c>
      <c r="P172" s="7">
        <f t="shared" ca="1" si="9"/>
        <v>46116.588735879632</v>
      </c>
      <c r="Q172">
        <f t="shared" ca="1" si="10"/>
        <v>28</v>
      </c>
      <c r="R172">
        <f t="shared" si="11"/>
        <v>45291</v>
      </c>
    </row>
    <row r="173" spans="1:18"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O173" s="3">
        <f t="shared" ca="1" si="8"/>
        <v>46116</v>
      </c>
      <c r="P173" s="7">
        <f t="shared" ca="1" si="9"/>
        <v>46116.588735879632</v>
      </c>
      <c r="Q173">
        <f t="shared" ca="1" si="10"/>
        <v>27</v>
      </c>
      <c r="R173">
        <f t="shared" si="11"/>
        <v>45322</v>
      </c>
    </row>
    <row r="174" spans="1:18"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O174" s="3">
        <f t="shared" ca="1" si="8"/>
        <v>46116</v>
      </c>
      <c r="P174" s="7">
        <f t="shared" ca="1" si="9"/>
        <v>46116.588735879632</v>
      </c>
      <c r="Q174">
        <f t="shared" ca="1" si="10"/>
        <v>52</v>
      </c>
      <c r="R174">
        <f t="shared" si="11"/>
        <v>44561</v>
      </c>
    </row>
    <row r="175" spans="1:18"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O175" s="3">
        <f t="shared" ca="1" si="8"/>
        <v>46116</v>
      </c>
      <c r="P175" s="7">
        <f t="shared" ca="1" si="9"/>
        <v>46116.588735879632</v>
      </c>
      <c r="Q175">
        <f t="shared" ca="1" si="10"/>
        <v>45</v>
      </c>
      <c r="R175">
        <f t="shared" si="11"/>
        <v>44773</v>
      </c>
    </row>
    <row r="176" spans="1:18"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O176" s="3">
        <f t="shared" ca="1" si="8"/>
        <v>46116</v>
      </c>
      <c r="P176" s="7">
        <f t="shared" ca="1" si="9"/>
        <v>46116.588735879632</v>
      </c>
      <c r="Q176">
        <f t="shared" ca="1" si="10"/>
        <v>44</v>
      </c>
      <c r="R176">
        <f t="shared" si="11"/>
        <v>44804</v>
      </c>
    </row>
    <row r="177" spans="1:18"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O177" s="3">
        <f t="shared" ca="1" si="8"/>
        <v>46116</v>
      </c>
      <c r="P177" s="7">
        <f t="shared" ca="1" si="9"/>
        <v>46116.588735879632</v>
      </c>
      <c r="Q177">
        <f t="shared" ca="1" si="10"/>
        <v>52</v>
      </c>
      <c r="R177">
        <f t="shared" si="11"/>
        <v>44561</v>
      </c>
    </row>
    <row r="178" spans="1:18"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O178" s="3">
        <f t="shared" ca="1" si="8"/>
        <v>46116</v>
      </c>
      <c r="P178" s="7">
        <f t="shared" ca="1" si="9"/>
        <v>46116.588735879632</v>
      </c>
      <c r="Q178">
        <f t="shared" ca="1" si="10"/>
        <v>50</v>
      </c>
      <c r="R178">
        <f t="shared" si="11"/>
        <v>44620</v>
      </c>
    </row>
    <row r="179" spans="1:18"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O179" s="3">
        <f t="shared" ca="1" si="8"/>
        <v>46116</v>
      </c>
      <c r="P179" s="7">
        <f t="shared" ca="1" si="9"/>
        <v>46116.588735879632</v>
      </c>
      <c r="Q179">
        <f t="shared" ca="1" si="10"/>
        <v>25</v>
      </c>
      <c r="R179">
        <f t="shared" si="11"/>
        <v>45382</v>
      </c>
    </row>
    <row r="180" spans="1:18"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O180" s="3">
        <f t="shared" ca="1" si="8"/>
        <v>46116</v>
      </c>
      <c r="P180" s="7">
        <f t="shared" ca="1" si="9"/>
        <v>46116.588735879632</v>
      </c>
      <c r="Q180">
        <f t="shared" ca="1" si="10"/>
        <v>35</v>
      </c>
      <c r="R180">
        <f t="shared" si="11"/>
        <v>45107</v>
      </c>
    </row>
    <row r="181" spans="1:18"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O181" s="3">
        <f t="shared" ca="1" si="8"/>
        <v>46116</v>
      </c>
      <c r="P181" s="7">
        <f t="shared" ca="1" si="9"/>
        <v>46116.588735879632</v>
      </c>
      <c r="Q181">
        <f t="shared" ca="1" si="10"/>
        <v>51</v>
      </c>
      <c r="R181">
        <f t="shared" si="11"/>
        <v>44620</v>
      </c>
    </row>
    <row r="182" spans="1:18"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O182" s="3">
        <f t="shared" ca="1" si="8"/>
        <v>46116</v>
      </c>
      <c r="P182" s="7">
        <f t="shared" ca="1" si="9"/>
        <v>46116.588735879632</v>
      </c>
      <c r="Q182">
        <f t="shared" ca="1" si="10"/>
        <v>44</v>
      </c>
      <c r="R182">
        <f t="shared" si="11"/>
        <v>44804</v>
      </c>
    </row>
    <row r="183" spans="1:18"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O183" s="3">
        <f t="shared" ca="1" si="8"/>
        <v>46116</v>
      </c>
      <c r="P183" s="7">
        <f t="shared" ca="1" si="9"/>
        <v>46116.588735879632</v>
      </c>
      <c r="Q183">
        <f t="shared" ca="1" si="10"/>
        <v>42</v>
      </c>
      <c r="R183">
        <f t="shared" si="11"/>
        <v>44865</v>
      </c>
    </row>
    <row r="184" spans="1:18"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O184" s="3">
        <f t="shared" ca="1" si="8"/>
        <v>46116</v>
      </c>
      <c r="P184" s="7">
        <f t="shared" ca="1" si="9"/>
        <v>46116.588735879632</v>
      </c>
      <c r="Q184">
        <f t="shared" ca="1" si="10"/>
        <v>55</v>
      </c>
      <c r="R184">
        <f t="shared" si="11"/>
        <v>44469</v>
      </c>
    </row>
    <row r="185" spans="1:18"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O185" s="3">
        <f t="shared" ca="1" si="8"/>
        <v>46116</v>
      </c>
      <c r="P185" s="7">
        <f t="shared" ca="1" si="9"/>
        <v>46116.588735879632</v>
      </c>
      <c r="Q185">
        <f t="shared" ca="1" si="10"/>
        <v>33</v>
      </c>
      <c r="R185">
        <f t="shared" si="11"/>
        <v>45138</v>
      </c>
    </row>
    <row r="186" spans="1:18"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O186" s="3">
        <f t="shared" ca="1" si="8"/>
        <v>46116</v>
      </c>
      <c r="P186" s="7">
        <f t="shared" ca="1" si="9"/>
        <v>46116.588735879632</v>
      </c>
      <c r="Q186">
        <f t="shared" ca="1" si="10"/>
        <v>48</v>
      </c>
      <c r="R186">
        <f t="shared" si="11"/>
        <v>44681</v>
      </c>
    </row>
    <row r="187" spans="1:18"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O187" s="3">
        <f t="shared" ca="1" si="8"/>
        <v>46116</v>
      </c>
      <c r="P187" s="7">
        <f t="shared" ca="1" si="9"/>
        <v>46116.588735879632</v>
      </c>
      <c r="Q187">
        <f t="shared" ca="1" si="10"/>
        <v>25</v>
      </c>
      <c r="R187">
        <f t="shared" si="11"/>
        <v>45382</v>
      </c>
    </row>
    <row r="188" spans="1:18"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O188" s="3">
        <f t="shared" ca="1" si="8"/>
        <v>46116</v>
      </c>
      <c r="P188" s="7">
        <f t="shared" ca="1" si="9"/>
        <v>46116.588735879632</v>
      </c>
      <c r="Q188">
        <f t="shared" ca="1" si="10"/>
        <v>51</v>
      </c>
      <c r="R188">
        <f t="shared" si="11"/>
        <v>44592</v>
      </c>
    </row>
    <row r="189" spans="1:18"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O189" s="3">
        <f t="shared" ca="1" si="8"/>
        <v>46116</v>
      </c>
      <c r="P189" s="7">
        <f t="shared" ca="1" si="9"/>
        <v>46116.588735879632</v>
      </c>
      <c r="Q189">
        <f t="shared" ca="1" si="10"/>
        <v>49</v>
      </c>
      <c r="R189">
        <f t="shared" si="11"/>
        <v>44651</v>
      </c>
    </row>
    <row r="190" spans="1:18"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O190" s="3">
        <f t="shared" ca="1" si="8"/>
        <v>46116</v>
      </c>
      <c r="P190" s="7">
        <f t="shared" ca="1" si="9"/>
        <v>46116.588735879632</v>
      </c>
      <c r="Q190">
        <f t="shared" ca="1" si="10"/>
        <v>26</v>
      </c>
      <c r="R190">
        <f t="shared" si="11"/>
        <v>45351</v>
      </c>
    </row>
    <row r="191" spans="1:18"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O191" s="3">
        <f t="shared" ca="1" si="8"/>
        <v>46116</v>
      </c>
      <c r="P191" s="7">
        <f t="shared" ca="1" si="9"/>
        <v>46116.588735879632</v>
      </c>
      <c r="Q191">
        <f t="shared" ca="1" si="10"/>
        <v>55</v>
      </c>
      <c r="R191">
        <f t="shared" si="11"/>
        <v>44469</v>
      </c>
    </row>
    <row r="192" spans="1:18"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O192" s="3">
        <f t="shared" ca="1" si="8"/>
        <v>46116</v>
      </c>
      <c r="P192" s="7">
        <f t="shared" ca="1" si="9"/>
        <v>46116.588735879632</v>
      </c>
      <c r="Q192">
        <f t="shared" ca="1" si="10"/>
        <v>54</v>
      </c>
      <c r="R192">
        <f t="shared" si="11"/>
        <v>44500</v>
      </c>
    </row>
    <row r="193" spans="1:18"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O193" s="3">
        <f t="shared" ca="1" si="8"/>
        <v>46116</v>
      </c>
      <c r="P193" s="7">
        <f t="shared" ca="1" si="9"/>
        <v>46116.588735879632</v>
      </c>
      <c r="Q193">
        <f t="shared" ca="1" si="10"/>
        <v>39</v>
      </c>
      <c r="R193">
        <f t="shared" si="11"/>
        <v>44957</v>
      </c>
    </row>
    <row r="194" spans="1:18"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O194" s="3">
        <f t="shared" ca="1" si="8"/>
        <v>46116</v>
      </c>
      <c r="P194" s="7">
        <f t="shared" ca="1" si="9"/>
        <v>46116.588735879632</v>
      </c>
      <c r="Q194">
        <f t="shared" ca="1" si="10"/>
        <v>29</v>
      </c>
      <c r="R194">
        <f t="shared" si="11"/>
        <v>45260</v>
      </c>
    </row>
    <row r="195" spans="1:18"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O195" s="3">
        <f t="shared" ca="1" si="8"/>
        <v>46116</v>
      </c>
      <c r="P195" s="7">
        <f t="shared" ca="1" si="9"/>
        <v>46116.588735879632</v>
      </c>
      <c r="Q195">
        <f t="shared" ca="1" si="10"/>
        <v>51</v>
      </c>
      <c r="R195">
        <f t="shared" si="11"/>
        <v>44592</v>
      </c>
    </row>
    <row r="196" spans="1:18"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O196" s="3">
        <f t="shared" ref="O196:O252" ca="1" si="12">TODAY()</f>
        <v>46116</v>
      </c>
      <c r="P196" s="7">
        <f t="shared" ref="P196:P252" ca="1" si="13">NOW()</f>
        <v>46116.588735879632</v>
      </c>
      <c r="Q196">
        <f t="shared" ref="Q196:Q252" ca="1" si="14">DATEDIF(M196, TODAY(), "M" )</f>
        <v>55</v>
      </c>
      <c r="R196">
        <f t="shared" ref="R196:R252" si="15">EOMONTH(M196,1)</f>
        <v>44469</v>
      </c>
    </row>
    <row r="197" spans="1:18"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O197" s="3">
        <f t="shared" ca="1" si="12"/>
        <v>46116</v>
      </c>
      <c r="P197" s="7">
        <f t="shared" ca="1" si="13"/>
        <v>46116.588735879632</v>
      </c>
      <c r="Q197">
        <f t="shared" ca="1" si="14"/>
        <v>56</v>
      </c>
      <c r="R197">
        <f t="shared" si="15"/>
        <v>44439</v>
      </c>
    </row>
    <row r="198" spans="1:18"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O198" s="3">
        <f t="shared" ca="1" si="12"/>
        <v>46116</v>
      </c>
      <c r="P198" s="7">
        <f t="shared" ca="1" si="13"/>
        <v>46116.588735879632</v>
      </c>
      <c r="Q198">
        <f t="shared" ca="1" si="14"/>
        <v>48</v>
      </c>
      <c r="R198">
        <f t="shared" si="15"/>
        <v>44681</v>
      </c>
    </row>
    <row r="199" spans="1:18"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O199" s="3">
        <f t="shared" ca="1" si="12"/>
        <v>46116</v>
      </c>
      <c r="P199" s="7">
        <f t="shared" ca="1" si="13"/>
        <v>46116.588735879632</v>
      </c>
      <c r="Q199">
        <f t="shared" ca="1" si="14"/>
        <v>51</v>
      </c>
      <c r="R199">
        <f t="shared" si="15"/>
        <v>44620</v>
      </c>
    </row>
    <row r="200" spans="1:18"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O200" s="3">
        <f t="shared" ca="1" si="12"/>
        <v>46116</v>
      </c>
      <c r="P200" s="7">
        <f t="shared" ca="1" si="13"/>
        <v>46116.588735879632</v>
      </c>
      <c r="Q200">
        <f t="shared" ca="1" si="14"/>
        <v>29</v>
      </c>
      <c r="R200">
        <f t="shared" si="15"/>
        <v>45260</v>
      </c>
    </row>
    <row r="201" spans="1:18"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O201" s="3">
        <f t="shared" ca="1" si="12"/>
        <v>46116</v>
      </c>
      <c r="P201" s="7">
        <f t="shared" ca="1" si="13"/>
        <v>46116.588735879632</v>
      </c>
      <c r="Q201">
        <f t="shared" ca="1" si="14"/>
        <v>45</v>
      </c>
      <c r="R201">
        <f t="shared" si="15"/>
        <v>44773</v>
      </c>
    </row>
    <row r="202" spans="1:18"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O202" s="3">
        <f t="shared" ca="1" si="12"/>
        <v>46116</v>
      </c>
      <c r="P202" s="7">
        <f t="shared" ca="1" si="13"/>
        <v>46116.588735879632</v>
      </c>
      <c r="Q202">
        <f t="shared" ca="1" si="14"/>
        <v>38</v>
      </c>
      <c r="R202">
        <f t="shared" si="15"/>
        <v>44985</v>
      </c>
    </row>
    <row r="203" spans="1:18"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O203" s="3">
        <f t="shared" ca="1" si="12"/>
        <v>46116</v>
      </c>
      <c r="P203" s="7">
        <f t="shared" ca="1" si="13"/>
        <v>46116.588735879632</v>
      </c>
      <c r="Q203">
        <f t="shared" ca="1" si="14"/>
        <v>47</v>
      </c>
      <c r="R203">
        <f t="shared" si="15"/>
        <v>44712</v>
      </c>
    </row>
    <row r="204" spans="1:18"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O204" s="3">
        <f t="shared" ca="1" si="12"/>
        <v>46116</v>
      </c>
      <c r="P204" s="7">
        <f t="shared" ca="1" si="13"/>
        <v>46116.588735879632</v>
      </c>
      <c r="Q204">
        <f t="shared" ca="1" si="14"/>
        <v>46</v>
      </c>
      <c r="R204">
        <f t="shared" si="15"/>
        <v>44742</v>
      </c>
    </row>
    <row r="205" spans="1:18"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O205" s="3">
        <f t="shared" ca="1" si="12"/>
        <v>46116</v>
      </c>
      <c r="P205" s="7">
        <f t="shared" ca="1" si="13"/>
        <v>46116.588735879632</v>
      </c>
      <c r="Q205">
        <f t="shared" ca="1" si="14"/>
        <v>44</v>
      </c>
      <c r="R205">
        <f t="shared" si="15"/>
        <v>44834</v>
      </c>
    </row>
    <row r="206" spans="1:18"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O206" s="3">
        <f t="shared" ca="1" si="12"/>
        <v>46116</v>
      </c>
      <c r="P206" s="7">
        <f t="shared" ca="1" si="13"/>
        <v>46116.588735879632</v>
      </c>
      <c r="Q206">
        <f t="shared" ca="1" si="14"/>
        <v>26</v>
      </c>
      <c r="R206">
        <f t="shared" si="15"/>
        <v>45351</v>
      </c>
    </row>
    <row r="207" spans="1:18"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O207" s="3">
        <f t="shared" ca="1" si="12"/>
        <v>46116</v>
      </c>
      <c r="P207" s="7">
        <f t="shared" ca="1" si="13"/>
        <v>46116.588735879632</v>
      </c>
      <c r="Q207">
        <f t="shared" ca="1" si="14"/>
        <v>35</v>
      </c>
      <c r="R207">
        <f t="shared" si="15"/>
        <v>45077</v>
      </c>
    </row>
    <row r="208" spans="1:18"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O208" s="3">
        <f t="shared" ca="1" si="12"/>
        <v>46116</v>
      </c>
      <c r="P208" s="7">
        <f t="shared" ca="1" si="13"/>
        <v>46116.588735879632</v>
      </c>
      <c r="Q208">
        <f t="shared" ca="1" si="14"/>
        <v>51</v>
      </c>
      <c r="R208">
        <f t="shared" si="15"/>
        <v>44620</v>
      </c>
    </row>
    <row r="209" spans="1:18"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O209" s="3">
        <f t="shared" ca="1" si="12"/>
        <v>46116</v>
      </c>
      <c r="P209" s="7">
        <f t="shared" ca="1" si="13"/>
        <v>46116.588735879632</v>
      </c>
      <c r="Q209">
        <f t="shared" ca="1" si="14"/>
        <v>38</v>
      </c>
      <c r="R209">
        <f t="shared" si="15"/>
        <v>45016</v>
      </c>
    </row>
    <row r="210" spans="1:18"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O210" s="3">
        <f t="shared" ca="1" si="12"/>
        <v>46116</v>
      </c>
      <c r="P210" s="7">
        <f t="shared" ca="1" si="13"/>
        <v>46116.588735879632</v>
      </c>
      <c r="Q210">
        <f t="shared" ca="1" si="14"/>
        <v>30</v>
      </c>
      <c r="R210">
        <f t="shared" si="15"/>
        <v>45230</v>
      </c>
    </row>
    <row r="211" spans="1:18"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O211" s="3">
        <f t="shared" ca="1" si="12"/>
        <v>46116</v>
      </c>
      <c r="P211" s="7">
        <f t="shared" ca="1" si="13"/>
        <v>46116.588735879632</v>
      </c>
      <c r="Q211">
        <f t="shared" ca="1" si="14"/>
        <v>55</v>
      </c>
      <c r="R211">
        <f t="shared" si="15"/>
        <v>44469</v>
      </c>
    </row>
    <row r="212" spans="1:18"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O212" s="3">
        <f t="shared" ca="1" si="12"/>
        <v>46116</v>
      </c>
      <c r="P212" s="7">
        <f t="shared" ca="1" si="13"/>
        <v>46116.588735879632</v>
      </c>
      <c r="Q212">
        <f t="shared" ca="1" si="14"/>
        <v>45</v>
      </c>
      <c r="R212">
        <f t="shared" si="15"/>
        <v>44773</v>
      </c>
    </row>
    <row r="213" spans="1:18"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O213" s="3">
        <f t="shared" ca="1" si="12"/>
        <v>46116</v>
      </c>
      <c r="P213" s="7">
        <f t="shared" ca="1" si="13"/>
        <v>46116.588735879632</v>
      </c>
      <c r="Q213">
        <f t="shared" ca="1" si="14"/>
        <v>28</v>
      </c>
      <c r="R213">
        <f t="shared" si="15"/>
        <v>45291</v>
      </c>
    </row>
    <row r="214" spans="1:18"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O214" s="3">
        <f t="shared" ca="1" si="12"/>
        <v>46116</v>
      </c>
      <c r="P214" s="7">
        <f t="shared" ca="1" si="13"/>
        <v>46116.588735879632</v>
      </c>
      <c r="Q214">
        <f t="shared" ca="1" si="14"/>
        <v>45</v>
      </c>
      <c r="R214">
        <f t="shared" si="15"/>
        <v>44773</v>
      </c>
    </row>
    <row r="215" spans="1:18"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O215" s="3">
        <f t="shared" ca="1" si="12"/>
        <v>46116</v>
      </c>
      <c r="P215" s="7">
        <f t="shared" ca="1" si="13"/>
        <v>46116.588735879632</v>
      </c>
      <c r="Q215">
        <f t="shared" ca="1" si="14"/>
        <v>25</v>
      </c>
      <c r="R215">
        <f t="shared" si="15"/>
        <v>45412</v>
      </c>
    </row>
    <row r="216" spans="1:18"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O216" s="3">
        <f t="shared" ca="1" si="12"/>
        <v>46116</v>
      </c>
      <c r="P216" s="7">
        <f t="shared" ca="1" si="13"/>
        <v>46116.588735879632</v>
      </c>
      <c r="Q216">
        <f t="shared" ca="1" si="14"/>
        <v>48</v>
      </c>
      <c r="R216">
        <f t="shared" si="15"/>
        <v>44681</v>
      </c>
    </row>
    <row r="217" spans="1:18"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O217" s="3">
        <f t="shared" ca="1" si="12"/>
        <v>46116</v>
      </c>
      <c r="P217" s="7">
        <f t="shared" ca="1" si="13"/>
        <v>46116.588735879632</v>
      </c>
      <c r="Q217">
        <f t="shared" ca="1" si="14"/>
        <v>49</v>
      </c>
      <c r="R217">
        <f t="shared" si="15"/>
        <v>44651</v>
      </c>
    </row>
    <row r="218" spans="1:18"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O218" s="3">
        <f t="shared" ca="1" si="12"/>
        <v>46116</v>
      </c>
      <c r="P218" s="7">
        <f t="shared" ca="1" si="13"/>
        <v>46116.588735879632</v>
      </c>
      <c r="Q218">
        <f t="shared" ca="1" si="14"/>
        <v>42</v>
      </c>
      <c r="R218">
        <f t="shared" si="15"/>
        <v>44865</v>
      </c>
    </row>
    <row r="219" spans="1:18"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O219" s="3">
        <f t="shared" ca="1" si="12"/>
        <v>46116</v>
      </c>
      <c r="P219" s="7">
        <f t="shared" ca="1" si="13"/>
        <v>46116.588735879632</v>
      </c>
      <c r="Q219">
        <f t="shared" ca="1" si="14"/>
        <v>32</v>
      </c>
      <c r="R219">
        <f t="shared" si="15"/>
        <v>45199</v>
      </c>
    </row>
    <row r="220" spans="1:18"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O220" s="3">
        <f t="shared" ca="1" si="12"/>
        <v>46116</v>
      </c>
      <c r="P220" s="7">
        <f t="shared" ca="1" si="13"/>
        <v>46116.588735879632</v>
      </c>
      <c r="Q220">
        <f t="shared" ca="1" si="14"/>
        <v>38</v>
      </c>
      <c r="R220">
        <f t="shared" si="15"/>
        <v>44985</v>
      </c>
    </row>
    <row r="221" spans="1:18"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O221" s="3">
        <f t="shared" ca="1" si="12"/>
        <v>46116</v>
      </c>
      <c r="P221" s="7">
        <f t="shared" ca="1" si="13"/>
        <v>46116.588735879632</v>
      </c>
      <c r="Q221">
        <f t="shared" ca="1" si="14"/>
        <v>50</v>
      </c>
      <c r="R221">
        <f t="shared" si="15"/>
        <v>44620</v>
      </c>
    </row>
    <row r="222" spans="1:18"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O222" s="3">
        <f t="shared" ca="1" si="12"/>
        <v>46116</v>
      </c>
      <c r="P222" s="7">
        <f t="shared" ca="1" si="13"/>
        <v>46116.588735879632</v>
      </c>
      <c r="Q222">
        <f t="shared" ca="1" si="14"/>
        <v>56</v>
      </c>
      <c r="R222">
        <f t="shared" si="15"/>
        <v>44469</v>
      </c>
    </row>
    <row r="223" spans="1:18"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O223" s="3">
        <f t="shared" ca="1" si="12"/>
        <v>46116</v>
      </c>
      <c r="P223" s="7">
        <f t="shared" ca="1" si="13"/>
        <v>46116.588735879632</v>
      </c>
      <c r="Q223">
        <f t="shared" ca="1" si="14"/>
        <v>32</v>
      </c>
      <c r="R223">
        <f t="shared" si="15"/>
        <v>45199</v>
      </c>
    </row>
    <row r="224" spans="1:18"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O224" s="3">
        <f t="shared" ca="1" si="12"/>
        <v>46116</v>
      </c>
      <c r="P224" s="7">
        <f t="shared" ca="1" si="13"/>
        <v>46116.588735879632</v>
      </c>
      <c r="Q224">
        <f t="shared" ca="1" si="14"/>
        <v>50</v>
      </c>
      <c r="R224">
        <f t="shared" si="15"/>
        <v>44620</v>
      </c>
    </row>
    <row r="225" spans="1:18"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O225" s="3">
        <f t="shared" ca="1" si="12"/>
        <v>46116</v>
      </c>
      <c r="P225" s="7">
        <f t="shared" ca="1" si="13"/>
        <v>46116.588735879632</v>
      </c>
      <c r="Q225">
        <f t="shared" ca="1" si="14"/>
        <v>34</v>
      </c>
      <c r="R225">
        <f t="shared" si="15"/>
        <v>45107</v>
      </c>
    </row>
    <row r="226" spans="1:18"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O226" s="3">
        <f t="shared" ca="1" si="12"/>
        <v>46116</v>
      </c>
      <c r="P226" s="7">
        <f t="shared" ca="1" si="13"/>
        <v>46116.588735879632</v>
      </c>
      <c r="Q226">
        <f t="shared" ca="1" si="14"/>
        <v>50</v>
      </c>
      <c r="R226">
        <f t="shared" si="15"/>
        <v>44620</v>
      </c>
    </row>
    <row r="227" spans="1:18"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O227" s="3">
        <f t="shared" ca="1" si="12"/>
        <v>46116</v>
      </c>
      <c r="P227" s="7">
        <f t="shared" ca="1" si="13"/>
        <v>46116.588735879632</v>
      </c>
      <c r="Q227">
        <f t="shared" ca="1" si="14"/>
        <v>34</v>
      </c>
      <c r="R227">
        <f t="shared" si="15"/>
        <v>45107</v>
      </c>
    </row>
    <row r="228" spans="1:18"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O228" s="3">
        <f t="shared" ca="1" si="12"/>
        <v>46116</v>
      </c>
      <c r="P228" s="7">
        <f t="shared" ca="1" si="13"/>
        <v>46116.588735879632</v>
      </c>
      <c r="Q228">
        <f t="shared" ca="1" si="14"/>
        <v>31</v>
      </c>
      <c r="R228">
        <f t="shared" si="15"/>
        <v>45199</v>
      </c>
    </row>
    <row r="229" spans="1:18"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O229" s="3">
        <f t="shared" ca="1" si="12"/>
        <v>46116</v>
      </c>
      <c r="P229" s="7">
        <f t="shared" ca="1" si="13"/>
        <v>46116.588735879632</v>
      </c>
      <c r="Q229">
        <f t="shared" ca="1" si="14"/>
        <v>27</v>
      </c>
      <c r="R229">
        <f t="shared" si="15"/>
        <v>45322</v>
      </c>
    </row>
    <row r="230" spans="1:18"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O230" s="3">
        <f t="shared" ca="1" si="12"/>
        <v>46116</v>
      </c>
      <c r="P230" s="7">
        <f t="shared" ca="1" si="13"/>
        <v>46116.588735879632</v>
      </c>
      <c r="Q230">
        <f t="shared" ca="1" si="14"/>
        <v>27</v>
      </c>
      <c r="R230">
        <f t="shared" si="15"/>
        <v>45351</v>
      </c>
    </row>
    <row r="231" spans="1:18"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O231" s="3">
        <f t="shared" ca="1" si="12"/>
        <v>46116</v>
      </c>
      <c r="P231" s="7">
        <f t="shared" ca="1" si="13"/>
        <v>46116.588735879632</v>
      </c>
      <c r="Q231">
        <f t="shared" ca="1" si="14"/>
        <v>51</v>
      </c>
      <c r="R231">
        <f t="shared" si="15"/>
        <v>44592</v>
      </c>
    </row>
    <row r="232" spans="1:18"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O232" s="3">
        <f t="shared" ca="1" si="12"/>
        <v>46116</v>
      </c>
      <c r="P232" s="7">
        <f t="shared" ca="1" si="13"/>
        <v>46116.588735879632</v>
      </c>
      <c r="Q232">
        <f t="shared" ca="1" si="14"/>
        <v>48</v>
      </c>
      <c r="R232">
        <f t="shared" si="15"/>
        <v>44681</v>
      </c>
    </row>
    <row r="233" spans="1:18"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O233" s="3">
        <f t="shared" ca="1" si="12"/>
        <v>46116</v>
      </c>
      <c r="P233" s="7">
        <f t="shared" ca="1" si="13"/>
        <v>46116.588735879632</v>
      </c>
      <c r="Q233">
        <f t="shared" ca="1" si="14"/>
        <v>23</v>
      </c>
      <c r="R233">
        <f t="shared" si="15"/>
        <v>45443</v>
      </c>
    </row>
    <row r="234" spans="1:18"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O234" s="3">
        <f t="shared" ca="1" si="12"/>
        <v>46116</v>
      </c>
      <c r="P234" s="7">
        <f t="shared" ca="1" si="13"/>
        <v>46116.588735879632</v>
      </c>
      <c r="Q234">
        <f t="shared" ca="1" si="14"/>
        <v>28</v>
      </c>
      <c r="R234">
        <f t="shared" si="15"/>
        <v>45322</v>
      </c>
    </row>
    <row r="235" spans="1:18"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O235" s="3">
        <f t="shared" ca="1" si="12"/>
        <v>46116</v>
      </c>
      <c r="P235" s="7">
        <f t="shared" ca="1" si="13"/>
        <v>46116.588735879632</v>
      </c>
      <c r="Q235">
        <f t="shared" ca="1" si="14"/>
        <v>32</v>
      </c>
      <c r="R235">
        <f t="shared" si="15"/>
        <v>45169</v>
      </c>
    </row>
    <row r="236" spans="1:18"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O236" s="3">
        <f t="shared" ca="1" si="12"/>
        <v>46116</v>
      </c>
      <c r="P236" s="7">
        <f t="shared" ca="1" si="13"/>
        <v>46116.588735879632</v>
      </c>
      <c r="Q236">
        <f t="shared" ca="1" si="14"/>
        <v>30</v>
      </c>
      <c r="R236">
        <f t="shared" si="15"/>
        <v>45230</v>
      </c>
    </row>
    <row r="237" spans="1:18"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O237" s="3">
        <f t="shared" ca="1" si="12"/>
        <v>46116</v>
      </c>
      <c r="P237" s="7">
        <f t="shared" ca="1" si="13"/>
        <v>46116.588735879632</v>
      </c>
      <c r="Q237">
        <f t="shared" ca="1" si="14"/>
        <v>29</v>
      </c>
      <c r="R237">
        <f t="shared" si="15"/>
        <v>45291</v>
      </c>
    </row>
    <row r="238" spans="1:18"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O238" s="3">
        <f t="shared" ca="1" si="12"/>
        <v>46116</v>
      </c>
      <c r="P238" s="7">
        <f t="shared" ca="1" si="13"/>
        <v>46116.588735879632</v>
      </c>
      <c r="Q238">
        <f t="shared" ca="1" si="14"/>
        <v>40</v>
      </c>
      <c r="R238">
        <f t="shared" si="15"/>
        <v>44926</v>
      </c>
    </row>
    <row r="239" spans="1:18"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O239" s="3">
        <f t="shared" ca="1" si="12"/>
        <v>46116</v>
      </c>
      <c r="P239" s="7">
        <f t="shared" ca="1" si="13"/>
        <v>46116.588735879632</v>
      </c>
      <c r="Q239">
        <f t="shared" ca="1" si="14"/>
        <v>37</v>
      </c>
      <c r="R239">
        <f t="shared" si="15"/>
        <v>45016</v>
      </c>
    </row>
    <row r="240" spans="1:18"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O240" s="3">
        <f t="shared" ca="1" si="12"/>
        <v>46116</v>
      </c>
      <c r="P240" s="7">
        <f t="shared" ca="1" si="13"/>
        <v>46116.588735879632</v>
      </c>
      <c r="Q240">
        <f t="shared" ca="1" si="14"/>
        <v>29</v>
      </c>
      <c r="R240">
        <f t="shared" si="15"/>
        <v>45291</v>
      </c>
    </row>
    <row r="241" spans="1:18"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O241" s="3">
        <f t="shared" ca="1" si="12"/>
        <v>46116</v>
      </c>
      <c r="P241" s="7">
        <f t="shared" ca="1" si="13"/>
        <v>46116.588735879632</v>
      </c>
      <c r="Q241">
        <f t="shared" ca="1" si="14"/>
        <v>51</v>
      </c>
      <c r="R241">
        <f t="shared" si="15"/>
        <v>44592</v>
      </c>
    </row>
    <row r="242" spans="1:18"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O242" s="3">
        <f t="shared" ca="1" si="12"/>
        <v>46116</v>
      </c>
      <c r="P242" s="7">
        <f t="shared" ca="1" si="13"/>
        <v>46116.588735879632</v>
      </c>
      <c r="Q242">
        <f t="shared" ca="1" si="14"/>
        <v>27</v>
      </c>
      <c r="R242">
        <f t="shared" si="15"/>
        <v>45322</v>
      </c>
    </row>
    <row r="243" spans="1:18"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O243" s="3">
        <f t="shared" ca="1" si="12"/>
        <v>46116</v>
      </c>
      <c r="P243" s="7">
        <f t="shared" ca="1" si="13"/>
        <v>46116.588735879632</v>
      </c>
      <c r="Q243">
        <f t="shared" ca="1" si="14"/>
        <v>46</v>
      </c>
      <c r="R243">
        <f t="shared" si="15"/>
        <v>44742</v>
      </c>
    </row>
    <row r="244" spans="1:18"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O244" s="3">
        <f t="shared" ca="1" si="12"/>
        <v>46116</v>
      </c>
      <c r="P244" s="7">
        <f t="shared" ca="1" si="13"/>
        <v>46116.588735879632</v>
      </c>
      <c r="Q244">
        <f t="shared" ca="1" si="14"/>
        <v>31</v>
      </c>
      <c r="R244">
        <f t="shared" si="15"/>
        <v>45230</v>
      </c>
    </row>
    <row r="245" spans="1:18"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O245" s="3">
        <f t="shared" ca="1" si="12"/>
        <v>46116</v>
      </c>
      <c r="P245" s="7">
        <f t="shared" ca="1" si="13"/>
        <v>46116.588735879632</v>
      </c>
      <c r="Q245">
        <f t="shared" ca="1" si="14"/>
        <v>52</v>
      </c>
      <c r="R245">
        <f t="shared" si="15"/>
        <v>44561</v>
      </c>
    </row>
    <row r="246" spans="1:18"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O246" s="3">
        <f t="shared" ca="1" si="12"/>
        <v>46116</v>
      </c>
      <c r="P246" s="7">
        <f t="shared" ca="1" si="13"/>
        <v>46116.588735879632</v>
      </c>
      <c r="Q246">
        <f t="shared" ca="1" si="14"/>
        <v>49</v>
      </c>
      <c r="R246">
        <f t="shared" si="15"/>
        <v>44651</v>
      </c>
    </row>
    <row r="247" spans="1:18"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O247" s="3">
        <f t="shared" ca="1" si="12"/>
        <v>46116</v>
      </c>
      <c r="P247" s="7">
        <f t="shared" ca="1" si="13"/>
        <v>46116.588735879632</v>
      </c>
      <c r="Q247">
        <f t="shared" ca="1" si="14"/>
        <v>38</v>
      </c>
      <c r="R247">
        <f t="shared" si="15"/>
        <v>44985</v>
      </c>
    </row>
    <row r="248" spans="1:18"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O248" s="3">
        <f t="shared" ca="1" si="12"/>
        <v>46116</v>
      </c>
      <c r="P248" s="7">
        <f t="shared" ca="1" si="13"/>
        <v>46116.588735879632</v>
      </c>
      <c r="Q248">
        <f t="shared" ca="1" si="14"/>
        <v>52</v>
      </c>
      <c r="R248">
        <f t="shared" si="15"/>
        <v>44561</v>
      </c>
    </row>
    <row r="249" spans="1:18"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O249" s="3">
        <f t="shared" ca="1" si="12"/>
        <v>46116</v>
      </c>
      <c r="P249" s="7">
        <f t="shared" ca="1" si="13"/>
        <v>46116.588735879632</v>
      </c>
      <c r="Q249">
        <f t="shared" ca="1" si="14"/>
        <v>25</v>
      </c>
      <c r="R249">
        <f t="shared" si="15"/>
        <v>45382</v>
      </c>
    </row>
    <row r="250" spans="1:18"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O250" s="3">
        <f t="shared" ca="1" si="12"/>
        <v>46116</v>
      </c>
      <c r="P250" s="7">
        <f t="shared" ca="1" si="13"/>
        <v>46116.588735879632</v>
      </c>
      <c r="Q250">
        <f t="shared" ca="1" si="14"/>
        <v>39</v>
      </c>
      <c r="R250">
        <f t="shared" si="15"/>
        <v>44957</v>
      </c>
    </row>
    <row r="251" spans="1:18"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O251" s="3">
        <f t="shared" ca="1" si="12"/>
        <v>46116</v>
      </c>
      <c r="P251" s="7">
        <f t="shared" ca="1" si="13"/>
        <v>46116.588735879632</v>
      </c>
      <c r="Q251">
        <f t="shared" ca="1" si="14"/>
        <v>33</v>
      </c>
      <c r="R251">
        <f t="shared" si="15"/>
        <v>45138</v>
      </c>
    </row>
    <row r="252" spans="1:18"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O252" s="3">
        <f t="shared" ca="1" si="12"/>
        <v>46116</v>
      </c>
      <c r="P252" s="7">
        <f t="shared" ca="1" si="13"/>
        <v>46116.588735879632</v>
      </c>
      <c r="Q252">
        <f t="shared" ca="1" si="14"/>
        <v>40</v>
      </c>
      <c r="R252">
        <f t="shared" si="15"/>
        <v>44926</v>
      </c>
    </row>
    <row r="253" spans="1:18">
      <c r="O253" s="3"/>
    </row>
  </sheetData>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90AC-5DB0-4B7E-AB1C-4E032ED412B8}">
  <dimension ref="A1:AC493"/>
  <sheetViews>
    <sheetView workbookViewId="0">
      <selection activeCell="Q4" sqref="Q4"/>
    </sheetView>
  </sheetViews>
  <sheetFormatPr defaultRowHeight="14.4"/>
  <cols>
    <col min="2" max="2" width="10.33203125" bestFit="1" customWidth="1"/>
    <col min="13" max="13" width="10.33203125" bestFit="1" customWidth="1"/>
  </cols>
  <sheetData>
    <row r="1" spans="1:14" ht="15" thickBot="1">
      <c r="A1" t="s">
        <v>405</v>
      </c>
    </row>
    <row r="2" spans="1:14" ht="43.8" thickBot="1">
      <c r="A2" s="2" t="s">
        <v>0</v>
      </c>
      <c r="B2" s="2" t="s">
        <v>1</v>
      </c>
      <c r="C2" s="2" t="s">
        <v>2</v>
      </c>
      <c r="D2" s="2" t="s">
        <v>3</v>
      </c>
      <c r="E2" s="2" t="s">
        <v>4</v>
      </c>
      <c r="F2" s="2" t="s">
        <v>5</v>
      </c>
      <c r="G2" s="2" t="s">
        <v>6</v>
      </c>
      <c r="H2" s="2" t="s">
        <v>7</v>
      </c>
      <c r="I2" s="2" t="s">
        <v>8</v>
      </c>
      <c r="J2" s="2" t="s">
        <v>9</v>
      </c>
      <c r="K2" s="2" t="s">
        <v>10</v>
      </c>
      <c r="L2" s="2" t="s">
        <v>11</v>
      </c>
      <c r="M2" s="2" t="s">
        <v>12</v>
      </c>
      <c r="N2" s="2" t="s">
        <v>13</v>
      </c>
    </row>
    <row r="3" spans="1:14" ht="29.4" thickBot="1">
      <c r="A3" s="1" t="s">
        <v>14</v>
      </c>
      <c r="B3" s="4">
        <v>45393</v>
      </c>
      <c r="C3" s="1" t="s">
        <v>15</v>
      </c>
      <c r="D3" s="1" t="s">
        <v>16</v>
      </c>
      <c r="E3" s="1" t="s">
        <v>17</v>
      </c>
      <c r="F3" s="1" t="s">
        <v>18</v>
      </c>
      <c r="G3" s="1" t="s">
        <v>19</v>
      </c>
      <c r="H3" s="5">
        <v>3</v>
      </c>
      <c r="I3" s="5">
        <v>249.99</v>
      </c>
      <c r="J3" s="1" t="s">
        <v>20</v>
      </c>
      <c r="K3" s="1" t="s">
        <v>21</v>
      </c>
      <c r="L3" s="1" t="s">
        <v>22</v>
      </c>
      <c r="M3" s="4">
        <v>44425</v>
      </c>
      <c r="N3" s="5">
        <v>749.97</v>
      </c>
    </row>
    <row r="4" spans="1:14" ht="29.4" thickBot="1">
      <c r="A4" s="1" t="s">
        <v>23</v>
      </c>
      <c r="B4" s="4">
        <v>45396</v>
      </c>
      <c r="C4" s="1" t="s">
        <v>24</v>
      </c>
      <c r="D4" s="1" t="s">
        <v>25</v>
      </c>
      <c r="E4" s="1" t="s">
        <v>17</v>
      </c>
      <c r="F4" s="1" t="s">
        <v>18</v>
      </c>
      <c r="G4" s="1" t="s">
        <v>19</v>
      </c>
      <c r="H4" s="5">
        <v>3</v>
      </c>
      <c r="I4" s="5">
        <v>249.99</v>
      </c>
      <c r="J4" s="1" t="s">
        <v>26</v>
      </c>
      <c r="K4" s="1" t="s">
        <v>21</v>
      </c>
      <c r="L4" s="1" t="s">
        <v>27</v>
      </c>
      <c r="M4" s="4">
        <v>44575</v>
      </c>
      <c r="N4" s="5">
        <v>749.97</v>
      </c>
    </row>
    <row r="5" spans="1:14" ht="29.4" thickBot="1">
      <c r="A5" s="1" t="s">
        <v>28</v>
      </c>
      <c r="B5" s="4">
        <v>45399</v>
      </c>
      <c r="C5" s="1" t="s">
        <v>29</v>
      </c>
      <c r="D5" s="1" t="s">
        <v>30</v>
      </c>
      <c r="E5" s="1" t="s">
        <v>31</v>
      </c>
      <c r="F5" s="1" t="s">
        <v>32</v>
      </c>
      <c r="G5" s="1" t="s">
        <v>33</v>
      </c>
      <c r="H5" s="5">
        <v>3</v>
      </c>
      <c r="I5" s="5">
        <v>59.99</v>
      </c>
      <c r="J5" s="1" t="s">
        <v>34</v>
      </c>
      <c r="K5" s="1" t="s">
        <v>35</v>
      </c>
      <c r="L5" s="1" t="s">
        <v>36</v>
      </c>
      <c r="M5" s="4">
        <v>45262</v>
      </c>
      <c r="N5" s="5">
        <v>179.97</v>
      </c>
    </row>
    <row r="6" spans="1:14" ht="29.4" thickBot="1">
      <c r="A6" s="1" t="s">
        <v>37</v>
      </c>
      <c r="B6" s="4">
        <v>45400</v>
      </c>
      <c r="C6" s="1" t="s">
        <v>38</v>
      </c>
      <c r="D6" s="1" t="s">
        <v>39</v>
      </c>
      <c r="E6" s="1" t="s">
        <v>31</v>
      </c>
      <c r="F6" s="1" t="s">
        <v>32</v>
      </c>
      <c r="G6" s="1" t="s">
        <v>33</v>
      </c>
      <c r="H6" s="5">
        <v>3</v>
      </c>
      <c r="I6" s="5">
        <v>59.99</v>
      </c>
      <c r="J6" s="1" t="s">
        <v>20</v>
      </c>
      <c r="K6" s="1" t="s">
        <v>40</v>
      </c>
      <c r="L6" s="1" t="s">
        <v>27</v>
      </c>
      <c r="M6" s="4">
        <v>45114</v>
      </c>
      <c r="N6" s="5">
        <v>179.97</v>
      </c>
    </row>
    <row r="7" spans="1:14" ht="29.4" thickBot="1">
      <c r="A7" s="1" t="s">
        <v>41</v>
      </c>
      <c r="B7" s="4">
        <v>45400</v>
      </c>
      <c r="C7" s="1" t="s">
        <v>42</v>
      </c>
      <c r="D7" s="1" t="s">
        <v>43</v>
      </c>
      <c r="E7" s="1" t="s">
        <v>44</v>
      </c>
      <c r="F7" s="1" t="s">
        <v>45</v>
      </c>
      <c r="G7" s="1" t="s">
        <v>46</v>
      </c>
      <c r="H7" s="5">
        <v>5</v>
      </c>
      <c r="I7" s="5">
        <v>149.99</v>
      </c>
      <c r="J7" s="1" t="s">
        <v>26</v>
      </c>
      <c r="K7" s="1" t="s">
        <v>40</v>
      </c>
      <c r="L7" s="1" t="s">
        <v>27</v>
      </c>
      <c r="M7" s="4">
        <v>45295</v>
      </c>
      <c r="N7" s="5">
        <v>749.95</v>
      </c>
    </row>
    <row r="8" spans="1:14" ht="29.4" thickBot="1">
      <c r="A8" s="1" t="s">
        <v>47</v>
      </c>
      <c r="B8" s="4">
        <v>45403</v>
      </c>
      <c r="C8" s="1" t="s">
        <v>48</v>
      </c>
      <c r="D8" s="1" t="s">
        <v>49</v>
      </c>
      <c r="E8" s="1" t="s">
        <v>31</v>
      </c>
      <c r="F8" s="1" t="s">
        <v>32</v>
      </c>
      <c r="G8" s="1" t="s">
        <v>33</v>
      </c>
      <c r="H8" s="5">
        <v>2</v>
      </c>
      <c r="I8" s="5">
        <v>59.99</v>
      </c>
      <c r="J8" s="1" t="s">
        <v>20</v>
      </c>
      <c r="K8" s="1" t="s">
        <v>50</v>
      </c>
      <c r="L8" s="1" t="s">
        <v>36</v>
      </c>
      <c r="M8" s="4">
        <v>44746</v>
      </c>
      <c r="N8" s="5">
        <v>119.98</v>
      </c>
    </row>
    <row r="9" spans="1:14" ht="29.4" thickBot="1">
      <c r="A9" s="1" t="s">
        <v>51</v>
      </c>
      <c r="B9" s="4">
        <v>45403</v>
      </c>
      <c r="C9" s="1" t="s">
        <v>48</v>
      </c>
      <c r="D9" s="1" t="s">
        <v>49</v>
      </c>
      <c r="E9" s="1" t="s">
        <v>52</v>
      </c>
      <c r="F9" s="1" t="s">
        <v>53</v>
      </c>
      <c r="G9" s="1" t="s">
        <v>19</v>
      </c>
      <c r="H9" s="5">
        <v>5</v>
      </c>
      <c r="I9" s="5">
        <v>149.99</v>
      </c>
      <c r="J9" s="1" t="s">
        <v>26</v>
      </c>
      <c r="K9" s="1" t="s">
        <v>21</v>
      </c>
      <c r="L9" s="1" t="s">
        <v>36</v>
      </c>
      <c r="M9" s="4">
        <v>44418</v>
      </c>
      <c r="N9" s="5">
        <v>749.95</v>
      </c>
    </row>
    <row r="10" spans="1:14"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row>
    <row r="11" spans="1:14"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row>
    <row r="12" spans="1:14"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row>
    <row r="13" spans="1:14"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row>
    <row r="14" spans="1:14"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row>
    <row r="15" spans="1:14"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row>
    <row r="16" spans="1:14"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row>
    <row r="17" spans="1:14"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row>
    <row r="18" spans="1:14"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row>
    <row r="19" spans="1:14"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row>
    <row r="20" spans="1:14"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row>
    <row r="21" spans="1:14"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row>
    <row r="22" spans="1:14"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row>
    <row r="23" spans="1:14"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row>
    <row r="24" spans="1:14"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row>
    <row r="25" spans="1:14"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row>
    <row r="26" spans="1:14"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row>
    <row r="27" spans="1:14"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row>
    <row r="28" spans="1:14"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row>
    <row r="29" spans="1:14"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row>
    <row r="30" spans="1:14"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row>
    <row r="31" spans="1:14"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row>
    <row r="32" spans="1:14"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row>
    <row r="33" spans="1:14"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row>
    <row r="34" spans="1:14"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row>
    <row r="35" spans="1:14"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row>
    <row r="36" spans="1:14"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row>
    <row r="37" spans="1:14"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row>
    <row r="38" spans="1:14"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row>
    <row r="39" spans="1:14"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row>
    <row r="40" spans="1:14"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row>
    <row r="41" spans="1:14"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row>
    <row r="42" spans="1:14"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row>
    <row r="43" spans="1:14"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row>
    <row r="44" spans="1:14"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row>
    <row r="45" spans="1:14"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row>
    <row r="46" spans="1:14"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row>
    <row r="47" spans="1:14"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row>
    <row r="48" spans="1:14"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row>
    <row r="49" spans="1:14"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row>
    <row r="50" spans="1:14"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row>
    <row r="51" spans="1:14"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row>
    <row r="52" spans="1:14"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row>
    <row r="53" spans="1:14"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row>
    <row r="54" spans="1:14"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row>
    <row r="55" spans="1:14"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row>
    <row r="56" spans="1:14"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row>
    <row r="57" spans="1:14"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row>
    <row r="58" spans="1:14"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row>
    <row r="59" spans="1:14"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row>
    <row r="60" spans="1:14"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row>
    <row r="61" spans="1:14"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row>
    <row r="62" spans="1:14"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row>
    <row r="63" spans="1:14"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row>
    <row r="64" spans="1:14"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row>
    <row r="65" spans="1:14"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row>
    <row r="66" spans="1:14"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row>
    <row r="67" spans="1:14"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row>
    <row r="68" spans="1:14"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row>
    <row r="69" spans="1:14"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row>
    <row r="70" spans="1:14"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row>
    <row r="71" spans="1:14"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row>
    <row r="72" spans="1:14"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row>
    <row r="73" spans="1:14"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row>
    <row r="74" spans="1:14"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row>
    <row r="75" spans="1:14"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row>
    <row r="76" spans="1:14"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row>
    <row r="77" spans="1:14"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row>
    <row r="78" spans="1:14"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row>
    <row r="79" spans="1:14"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row>
    <row r="80" spans="1:14"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row>
    <row r="81" spans="1:14"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row>
    <row r="82" spans="1:14"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row>
    <row r="83" spans="1:14"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row>
    <row r="84" spans="1:14"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row>
    <row r="85" spans="1:14"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row>
    <row r="86" spans="1:14"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row>
    <row r="87" spans="1:14"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row>
    <row r="88" spans="1:14"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row>
    <row r="89" spans="1:14"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row>
    <row r="90" spans="1:14"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row>
    <row r="91" spans="1:14"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row>
    <row r="92" spans="1:14"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row>
    <row r="93" spans="1:14"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row>
    <row r="94" spans="1:14"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row>
    <row r="95" spans="1:14"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row>
    <row r="96" spans="1:14"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row>
    <row r="97" spans="1:14"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row>
    <row r="98" spans="1:14"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row>
    <row r="99" spans="1:14"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row>
    <row r="100" spans="1:14"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row>
    <row r="101" spans="1:14"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row>
    <row r="102" spans="1:14"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row>
    <row r="103" spans="1:14"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row>
    <row r="104" spans="1:14"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row>
    <row r="105" spans="1:14"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row>
    <row r="106" spans="1:14"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row>
    <row r="107" spans="1:14"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row>
    <row r="108" spans="1:14"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row>
    <row r="109" spans="1:14"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row>
    <row r="110" spans="1:14"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row>
    <row r="111" spans="1:14"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row>
    <row r="112" spans="1:14"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row>
    <row r="113" spans="1:14"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row>
    <row r="114" spans="1:14"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row>
    <row r="115" spans="1:14"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row>
    <row r="116" spans="1:14"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row>
    <row r="117" spans="1:14"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row>
    <row r="118" spans="1:14"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row>
    <row r="119" spans="1:14"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row>
    <row r="120" spans="1:14"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row>
    <row r="121" spans="1:14"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row>
    <row r="122" spans="1:14"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row>
    <row r="123" spans="1:14"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row>
    <row r="124" spans="1:14"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row>
    <row r="125" spans="1:14"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row>
    <row r="126" spans="1:14"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row>
    <row r="127" spans="1:14"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row>
    <row r="128" spans="1:14"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row>
    <row r="129" spans="1:14"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row>
    <row r="130" spans="1:14"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row>
    <row r="131" spans="1:14"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row>
    <row r="132" spans="1:14"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row>
    <row r="133" spans="1:14"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row>
    <row r="134" spans="1:14"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row>
    <row r="135" spans="1:14"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row>
    <row r="136" spans="1:14"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row>
    <row r="137" spans="1:14"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row>
    <row r="138" spans="1:14"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row>
    <row r="139" spans="1:14"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row>
    <row r="140" spans="1:14"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row>
    <row r="141" spans="1:14"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row>
    <row r="142" spans="1:14"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row>
    <row r="143" spans="1:14"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row>
    <row r="144" spans="1:14"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row>
    <row r="145" spans="1:14"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row>
    <row r="146" spans="1:14"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row>
    <row r="147" spans="1:14"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row>
    <row r="148" spans="1:14"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row>
    <row r="149" spans="1:14"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row>
    <row r="150" spans="1:14"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row>
    <row r="151" spans="1:14"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row>
    <row r="152" spans="1:14"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row>
    <row r="153" spans="1:14"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row>
    <row r="154" spans="1:14"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row>
    <row r="155" spans="1:14"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row>
    <row r="156" spans="1:14"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row>
    <row r="157" spans="1:14"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row>
    <row r="158" spans="1:14"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row>
    <row r="159" spans="1:14"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row>
    <row r="160" spans="1:14"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row>
    <row r="161" spans="1:14"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row>
    <row r="162" spans="1:14"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row>
    <row r="163" spans="1:14"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row>
    <row r="164" spans="1:14"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row>
    <row r="165" spans="1:14"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row>
    <row r="166" spans="1:14"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row>
    <row r="167" spans="1:14"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row>
    <row r="168" spans="1:14"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row>
    <row r="169" spans="1:14"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row>
    <row r="170" spans="1:14"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row>
    <row r="171" spans="1:14"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row>
    <row r="172" spans="1:14"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row>
    <row r="173" spans="1:14"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row>
    <row r="174" spans="1:14"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row>
    <row r="175" spans="1:14"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row>
    <row r="176" spans="1:14"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row>
    <row r="177" spans="1:14"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row>
    <row r="178" spans="1:14"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row>
    <row r="179" spans="1:14"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row>
    <row r="180" spans="1:14"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row>
    <row r="181" spans="1:14"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row>
    <row r="182" spans="1:14"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row>
    <row r="183" spans="1:14"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row>
    <row r="184" spans="1:14"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row>
    <row r="185" spans="1:14"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row>
    <row r="186" spans="1:14"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row>
    <row r="187" spans="1:14"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row>
    <row r="188" spans="1:14"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row>
    <row r="189" spans="1:14"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row>
    <row r="190" spans="1:14"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row>
    <row r="191" spans="1:14"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row>
    <row r="192" spans="1:14"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row>
    <row r="193" spans="1:14"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row>
    <row r="194" spans="1:14"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row>
    <row r="195" spans="1:14"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row>
    <row r="196" spans="1:14"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row>
    <row r="197" spans="1:14"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row>
    <row r="198" spans="1:14"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row>
    <row r="199" spans="1:14"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row>
    <row r="200" spans="1:14"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row>
    <row r="201" spans="1:14"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row>
    <row r="202" spans="1:14"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row>
    <row r="203" spans="1:14"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row>
    <row r="204" spans="1:14"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row>
    <row r="205" spans="1:14"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row>
    <row r="206" spans="1:14"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row>
    <row r="207" spans="1:14"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row>
    <row r="208" spans="1:14"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row>
    <row r="209" spans="1:14"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row>
    <row r="210" spans="1:14"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row>
    <row r="211" spans="1:14"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row>
    <row r="212" spans="1:14"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row>
    <row r="213" spans="1:14"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row>
    <row r="214" spans="1:14"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row>
    <row r="215" spans="1:14"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row>
    <row r="216" spans="1:14"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row>
    <row r="217" spans="1:14"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row>
    <row r="218" spans="1:14"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row>
    <row r="219" spans="1:14"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row>
    <row r="220" spans="1:14"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row>
    <row r="221" spans="1:14"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row>
    <row r="222" spans="1:14"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row>
    <row r="223" spans="1:14"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row>
    <row r="224" spans="1:14"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row>
    <row r="225" spans="1:14"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row>
    <row r="226" spans="1:14"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row>
    <row r="227" spans="1:14"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row>
    <row r="228" spans="1:14"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row>
    <row r="229" spans="1:14"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row>
    <row r="230" spans="1:14"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row>
    <row r="231" spans="1:14"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row>
    <row r="232" spans="1:14"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row>
    <row r="233" spans="1:14"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row>
    <row r="234" spans="1:14"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row>
    <row r="235" spans="1:14"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row>
    <row r="236" spans="1:14"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row>
    <row r="237" spans="1:14"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row>
    <row r="238" spans="1:14"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row>
    <row r="239" spans="1:14"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row>
    <row r="240" spans="1:14"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row>
    <row r="241" spans="1:29"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row>
    <row r="242" spans="1:29"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row>
    <row r="243" spans="1:29"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P243" s="2"/>
      <c r="Q243" s="2"/>
      <c r="R243" s="2"/>
      <c r="S243" s="2"/>
      <c r="T243" s="2"/>
      <c r="U243" s="2"/>
      <c r="V243" s="2"/>
      <c r="W243" s="2"/>
      <c r="X243" s="2"/>
      <c r="Y243" s="2"/>
      <c r="Z243" s="2"/>
      <c r="AA243" s="2"/>
      <c r="AB243" s="2"/>
      <c r="AC243" s="2"/>
    </row>
    <row r="244" spans="1:29"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P244" s="1"/>
      <c r="Q244" s="4"/>
      <c r="R244" s="1"/>
      <c r="S244" s="1"/>
      <c r="T244" s="1"/>
      <c r="U244" s="1"/>
      <c r="V244" s="1"/>
      <c r="W244" s="5"/>
      <c r="X244" s="5"/>
      <c r="Y244" s="1"/>
      <c r="Z244" s="1"/>
      <c r="AA244" s="1"/>
      <c r="AB244" s="4"/>
      <c r="AC244" s="5"/>
    </row>
    <row r="245" spans="1:29"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P245" s="1"/>
      <c r="Q245" s="4"/>
      <c r="R245" s="1"/>
      <c r="S245" s="1"/>
      <c r="T245" s="1"/>
      <c r="U245" s="1"/>
      <c r="V245" s="1"/>
      <c r="W245" s="5"/>
      <c r="X245" s="5"/>
      <c r="Y245" s="1"/>
      <c r="Z245" s="1"/>
      <c r="AA245" s="1"/>
      <c r="AB245" s="4"/>
      <c r="AC245" s="5"/>
    </row>
    <row r="246" spans="1:29"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P246" s="1"/>
      <c r="Q246" s="4"/>
      <c r="R246" s="1"/>
      <c r="S246" s="1"/>
      <c r="T246" s="1"/>
      <c r="U246" s="1"/>
      <c r="V246" s="1"/>
      <c r="W246" s="5"/>
      <c r="X246" s="5"/>
      <c r="Y246" s="1"/>
      <c r="Z246" s="1"/>
      <c r="AA246" s="1"/>
      <c r="AB246" s="4"/>
      <c r="AC246" s="5"/>
    </row>
    <row r="247" spans="1:29"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P247" s="1"/>
      <c r="Q247" s="4"/>
      <c r="R247" s="1"/>
      <c r="S247" s="1"/>
      <c r="T247" s="1"/>
      <c r="U247" s="1"/>
      <c r="V247" s="1"/>
      <c r="W247" s="5"/>
      <c r="X247" s="5"/>
      <c r="Y247" s="1"/>
      <c r="Z247" s="1"/>
      <c r="AA247" s="1"/>
      <c r="AB247" s="4"/>
      <c r="AC247" s="5"/>
    </row>
    <row r="248" spans="1:29"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P248" s="1"/>
      <c r="Q248" s="4"/>
      <c r="R248" s="1"/>
      <c r="S248" s="1"/>
      <c r="T248" s="1"/>
      <c r="U248" s="1"/>
      <c r="V248" s="1"/>
      <c r="W248" s="5"/>
      <c r="X248" s="5"/>
      <c r="Y248" s="1"/>
      <c r="Z248" s="1"/>
      <c r="AA248" s="1"/>
      <c r="AB248" s="4"/>
      <c r="AC248" s="5"/>
    </row>
    <row r="249" spans="1:29"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P249" s="1"/>
      <c r="Q249" s="4"/>
      <c r="R249" s="1"/>
      <c r="S249" s="1"/>
      <c r="T249" s="1"/>
      <c r="U249" s="1"/>
      <c r="V249" s="1"/>
      <c r="W249" s="5"/>
      <c r="X249" s="5"/>
      <c r="Y249" s="1"/>
      <c r="Z249" s="1"/>
      <c r="AA249" s="1"/>
      <c r="AB249" s="4"/>
      <c r="AC249" s="5"/>
    </row>
    <row r="250" spans="1:29"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P250" s="1"/>
      <c r="Q250" s="4"/>
      <c r="R250" s="1"/>
      <c r="S250" s="1"/>
      <c r="T250" s="1"/>
      <c r="U250" s="1"/>
      <c r="V250" s="1"/>
      <c r="W250" s="5"/>
      <c r="X250" s="5"/>
      <c r="Y250" s="1"/>
      <c r="Z250" s="1"/>
      <c r="AA250" s="1"/>
      <c r="AB250" s="4"/>
      <c r="AC250" s="5"/>
    </row>
    <row r="251" spans="1:29"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P251" s="1"/>
      <c r="Q251" s="4"/>
      <c r="R251" s="1"/>
      <c r="S251" s="1"/>
      <c r="T251" s="1"/>
      <c r="U251" s="1"/>
      <c r="V251" s="1"/>
      <c r="W251" s="5"/>
      <c r="X251" s="5"/>
      <c r="Y251" s="1"/>
      <c r="Z251" s="1"/>
      <c r="AA251" s="1"/>
      <c r="AB251" s="4"/>
      <c r="AC251" s="5"/>
    </row>
    <row r="252" spans="1:29"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P252" s="1"/>
      <c r="Q252" s="4"/>
      <c r="R252" s="1"/>
      <c r="S252" s="1"/>
      <c r="T252" s="1"/>
      <c r="U252" s="1"/>
      <c r="V252" s="1"/>
      <c r="W252" s="5"/>
      <c r="X252" s="5"/>
      <c r="Y252" s="1"/>
      <c r="Z252" s="1"/>
      <c r="AA252" s="1"/>
      <c r="AB252" s="4"/>
      <c r="AC252" s="5"/>
    </row>
    <row r="253" spans="1:29" ht="15" thickBot="1">
      <c r="P253" s="1"/>
      <c r="Q253" s="4"/>
      <c r="R253" s="1"/>
      <c r="S253" s="1"/>
      <c r="T253" s="1"/>
      <c r="U253" s="1"/>
      <c r="V253" s="1"/>
      <c r="W253" s="5"/>
      <c r="X253" s="5"/>
      <c r="Y253" s="1"/>
      <c r="Z253" s="1"/>
      <c r="AA253" s="1"/>
      <c r="AB253" s="4"/>
      <c r="AC253" s="5"/>
    </row>
    <row r="254" spans="1:29" ht="15" thickBot="1">
      <c r="P254" s="1"/>
      <c r="Q254" s="4"/>
      <c r="R254" s="1"/>
      <c r="S254" s="1"/>
      <c r="T254" s="1"/>
      <c r="U254" s="1"/>
      <c r="V254" s="1"/>
      <c r="W254" s="5"/>
      <c r="X254" s="5"/>
      <c r="Y254" s="1"/>
      <c r="Z254" s="1"/>
      <c r="AA254" s="1"/>
      <c r="AB254" s="4"/>
      <c r="AC254" s="5"/>
    </row>
    <row r="255" spans="1:29" ht="15" thickBot="1">
      <c r="P255" s="1"/>
      <c r="Q255" s="4"/>
      <c r="R255" s="1"/>
      <c r="S255" s="1"/>
      <c r="T255" s="1"/>
      <c r="U255" s="1"/>
      <c r="V255" s="1"/>
      <c r="W255" s="5"/>
      <c r="X255" s="5"/>
      <c r="Y255" s="1"/>
      <c r="Z255" s="1"/>
      <c r="AA255" s="1"/>
      <c r="AB255" s="4"/>
      <c r="AC255" s="5"/>
    </row>
    <row r="256" spans="1:29" ht="15" thickBot="1">
      <c r="P256" s="1"/>
      <c r="Q256" s="4"/>
      <c r="R256" s="1"/>
      <c r="S256" s="1"/>
      <c r="T256" s="1"/>
      <c r="U256" s="1"/>
      <c r="V256" s="1"/>
      <c r="W256" s="5"/>
      <c r="X256" s="5"/>
      <c r="Y256" s="1"/>
      <c r="Z256" s="1"/>
      <c r="AA256" s="1"/>
      <c r="AB256" s="4"/>
      <c r="AC256" s="5"/>
    </row>
    <row r="257" spans="16:29" ht="15" thickBot="1">
      <c r="P257" s="1"/>
      <c r="Q257" s="4"/>
      <c r="R257" s="1"/>
      <c r="S257" s="1"/>
      <c r="T257" s="1"/>
      <c r="U257" s="1"/>
      <c r="V257" s="1"/>
      <c r="W257" s="5"/>
      <c r="X257" s="5"/>
      <c r="Y257" s="1"/>
      <c r="Z257" s="1"/>
      <c r="AA257" s="1"/>
      <c r="AB257" s="4"/>
      <c r="AC257" s="5"/>
    </row>
    <row r="258" spans="16:29" ht="15" thickBot="1">
      <c r="P258" s="1"/>
      <c r="Q258" s="4"/>
      <c r="R258" s="1"/>
      <c r="S258" s="1"/>
      <c r="T258" s="1"/>
      <c r="U258" s="1"/>
      <c r="V258" s="1"/>
      <c r="W258" s="5"/>
      <c r="X258" s="5"/>
      <c r="Y258" s="1"/>
      <c r="Z258" s="1"/>
      <c r="AA258" s="1"/>
      <c r="AB258" s="4"/>
      <c r="AC258" s="5"/>
    </row>
    <row r="259" spans="16:29" ht="15" thickBot="1">
      <c r="P259" s="1"/>
      <c r="Q259" s="4"/>
      <c r="R259" s="1"/>
      <c r="S259" s="1"/>
      <c r="T259" s="1"/>
      <c r="U259" s="1"/>
      <c r="V259" s="1"/>
      <c r="W259" s="5"/>
      <c r="X259" s="5"/>
      <c r="Y259" s="1"/>
      <c r="Z259" s="1"/>
      <c r="AA259" s="1"/>
      <c r="AB259" s="4"/>
      <c r="AC259" s="5"/>
    </row>
    <row r="260" spans="16:29" ht="15" thickBot="1">
      <c r="P260" s="1"/>
      <c r="Q260" s="4"/>
      <c r="R260" s="1"/>
      <c r="S260" s="1"/>
      <c r="T260" s="1"/>
      <c r="U260" s="1"/>
      <c r="V260" s="1"/>
      <c r="W260" s="5"/>
      <c r="X260" s="5"/>
      <c r="Y260" s="1"/>
      <c r="Z260" s="1"/>
      <c r="AA260" s="1"/>
      <c r="AB260" s="4"/>
      <c r="AC260" s="5"/>
    </row>
    <row r="261" spans="16:29" ht="15" thickBot="1">
      <c r="P261" s="1"/>
      <c r="Q261" s="4"/>
      <c r="R261" s="1"/>
      <c r="S261" s="1"/>
      <c r="T261" s="1"/>
      <c r="U261" s="1"/>
      <c r="V261" s="1"/>
      <c r="W261" s="5"/>
      <c r="X261" s="5"/>
      <c r="Y261" s="1"/>
      <c r="Z261" s="1"/>
      <c r="AA261" s="1"/>
      <c r="AB261" s="4"/>
      <c r="AC261" s="5"/>
    </row>
    <row r="262" spans="16:29" ht="15" thickBot="1">
      <c r="P262" s="1"/>
      <c r="Q262" s="4"/>
      <c r="R262" s="1"/>
      <c r="S262" s="1"/>
      <c r="T262" s="1"/>
      <c r="U262" s="1"/>
      <c r="V262" s="1"/>
      <c r="W262" s="5"/>
      <c r="X262" s="5"/>
      <c r="Y262" s="1"/>
      <c r="Z262" s="1"/>
      <c r="AA262" s="1"/>
      <c r="AB262" s="4"/>
      <c r="AC262" s="5"/>
    </row>
    <row r="263" spans="16:29" ht="15" thickBot="1">
      <c r="P263" s="1"/>
      <c r="Q263" s="4"/>
      <c r="R263" s="1"/>
      <c r="S263" s="1"/>
      <c r="T263" s="1"/>
      <c r="U263" s="1"/>
      <c r="V263" s="1"/>
      <c r="W263" s="5"/>
      <c r="X263" s="5"/>
      <c r="Y263" s="1"/>
      <c r="Z263" s="1"/>
      <c r="AA263" s="1"/>
      <c r="AB263" s="4"/>
      <c r="AC263" s="5"/>
    </row>
    <row r="264" spans="16:29" ht="15" thickBot="1">
      <c r="P264" s="1"/>
      <c r="Q264" s="4"/>
      <c r="R264" s="1"/>
      <c r="S264" s="1"/>
      <c r="T264" s="1"/>
      <c r="U264" s="1"/>
      <c r="V264" s="1"/>
      <c r="W264" s="5"/>
      <c r="X264" s="5"/>
      <c r="Y264" s="1"/>
      <c r="Z264" s="1"/>
      <c r="AA264" s="1"/>
      <c r="AB264" s="4"/>
      <c r="AC264" s="5"/>
    </row>
    <row r="265" spans="16:29" ht="15" thickBot="1">
      <c r="P265" s="1"/>
      <c r="Q265" s="4"/>
      <c r="R265" s="1"/>
      <c r="S265" s="1"/>
      <c r="T265" s="1"/>
      <c r="U265" s="1"/>
      <c r="V265" s="1"/>
      <c r="W265" s="5"/>
      <c r="X265" s="5"/>
      <c r="Y265" s="1"/>
      <c r="Z265" s="1"/>
      <c r="AA265" s="1"/>
      <c r="AB265" s="4"/>
      <c r="AC265" s="5"/>
    </row>
    <row r="266" spans="16:29" ht="15" thickBot="1">
      <c r="P266" s="1"/>
      <c r="Q266" s="4"/>
      <c r="R266" s="1"/>
      <c r="S266" s="1"/>
      <c r="T266" s="1"/>
      <c r="U266" s="1"/>
      <c r="V266" s="1"/>
      <c r="W266" s="5"/>
      <c r="X266" s="5"/>
      <c r="Y266" s="1"/>
      <c r="Z266" s="1"/>
      <c r="AA266" s="1"/>
      <c r="AB266" s="4"/>
      <c r="AC266" s="5"/>
    </row>
    <row r="267" spans="16:29" ht="15" thickBot="1">
      <c r="P267" s="1"/>
      <c r="Q267" s="4"/>
      <c r="R267" s="1"/>
      <c r="S267" s="1"/>
      <c r="T267" s="1"/>
      <c r="U267" s="1"/>
      <c r="V267" s="1"/>
      <c r="W267" s="5"/>
      <c r="X267" s="5"/>
      <c r="Y267" s="1"/>
      <c r="Z267" s="1"/>
      <c r="AA267" s="1"/>
      <c r="AB267" s="4"/>
      <c r="AC267" s="5"/>
    </row>
    <row r="268" spans="16:29" ht="15" thickBot="1">
      <c r="P268" s="1"/>
      <c r="Q268" s="4"/>
      <c r="R268" s="1"/>
      <c r="S268" s="1"/>
      <c r="T268" s="1"/>
      <c r="U268" s="1"/>
      <c r="V268" s="1"/>
      <c r="W268" s="5"/>
      <c r="X268" s="5"/>
      <c r="Y268" s="1"/>
      <c r="Z268" s="1"/>
      <c r="AA268" s="1"/>
      <c r="AB268" s="4"/>
      <c r="AC268" s="5"/>
    </row>
    <row r="269" spans="16:29" ht="15" thickBot="1">
      <c r="P269" s="1"/>
      <c r="Q269" s="4"/>
      <c r="R269" s="1"/>
      <c r="S269" s="1"/>
      <c r="T269" s="1"/>
      <c r="U269" s="1"/>
      <c r="V269" s="1"/>
      <c r="W269" s="5"/>
      <c r="X269" s="5"/>
      <c r="Y269" s="1"/>
      <c r="Z269" s="1"/>
      <c r="AA269" s="1"/>
      <c r="AB269" s="4"/>
      <c r="AC269" s="5"/>
    </row>
    <row r="270" spans="16:29" ht="15" thickBot="1">
      <c r="P270" s="1"/>
      <c r="Q270" s="4"/>
      <c r="R270" s="1"/>
      <c r="S270" s="1"/>
      <c r="T270" s="1"/>
      <c r="U270" s="1"/>
      <c r="V270" s="1"/>
      <c r="W270" s="5"/>
      <c r="X270" s="5"/>
      <c r="Y270" s="1"/>
      <c r="Z270" s="1"/>
      <c r="AA270" s="1"/>
      <c r="AB270" s="4"/>
      <c r="AC270" s="5"/>
    </row>
    <row r="271" spans="16:29" ht="15" thickBot="1">
      <c r="P271" s="1"/>
      <c r="Q271" s="4"/>
      <c r="R271" s="1"/>
      <c r="S271" s="1"/>
      <c r="T271" s="1"/>
      <c r="U271" s="1"/>
      <c r="V271" s="1"/>
      <c r="W271" s="5"/>
      <c r="X271" s="5"/>
      <c r="Y271" s="1"/>
      <c r="Z271" s="1"/>
      <c r="AA271" s="1"/>
      <c r="AB271" s="4"/>
      <c r="AC271" s="5"/>
    </row>
    <row r="272" spans="16:29" ht="15" thickBot="1">
      <c r="P272" s="1"/>
      <c r="Q272" s="4"/>
      <c r="R272" s="1"/>
      <c r="S272" s="1"/>
      <c r="T272" s="1"/>
      <c r="U272" s="1"/>
      <c r="V272" s="1"/>
      <c r="W272" s="5"/>
      <c r="X272" s="5"/>
      <c r="Y272" s="1"/>
      <c r="Z272" s="1"/>
      <c r="AA272" s="1"/>
      <c r="AB272" s="4"/>
      <c r="AC272" s="5"/>
    </row>
    <row r="273" spans="16:29" ht="15" thickBot="1">
      <c r="P273" s="1"/>
      <c r="Q273" s="4"/>
      <c r="R273" s="1"/>
      <c r="S273" s="1"/>
      <c r="T273" s="1"/>
      <c r="U273" s="1"/>
      <c r="V273" s="1"/>
      <c r="W273" s="5"/>
      <c r="X273" s="5"/>
      <c r="Y273" s="1"/>
      <c r="Z273" s="1"/>
      <c r="AA273" s="1"/>
      <c r="AB273" s="4"/>
      <c r="AC273" s="5"/>
    </row>
    <row r="274" spans="16:29" ht="15" thickBot="1">
      <c r="P274" s="1"/>
      <c r="Q274" s="4"/>
      <c r="R274" s="1"/>
      <c r="S274" s="1"/>
      <c r="T274" s="1"/>
      <c r="U274" s="1"/>
      <c r="V274" s="1"/>
      <c r="W274" s="5"/>
      <c r="X274" s="5"/>
      <c r="Y274" s="1"/>
      <c r="Z274" s="1"/>
      <c r="AA274" s="1"/>
      <c r="AB274" s="4"/>
      <c r="AC274" s="5"/>
    </row>
    <row r="275" spans="16:29" ht="15" thickBot="1">
      <c r="P275" s="1"/>
      <c r="Q275" s="4"/>
      <c r="R275" s="1"/>
      <c r="S275" s="1"/>
      <c r="T275" s="1"/>
      <c r="U275" s="1"/>
      <c r="V275" s="1"/>
      <c r="W275" s="5"/>
      <c r="X275" s="5"/>
      <c r="Y275" s="1"/>
      <c r="Z275" s="1"/>
      <c r="AA275" s="1"/>
      <c r="AB275" s="4"/>
      <c r="AC275" s="5"/>
    </row>
    <row r="276" spans="16:29" ht="15" thickBot="1">
      <c r="P276" s="1"/>
      <c r="Q276" s="4"/>
      <c r="R276" s="1"/>
      <c r="S276" s="1"/>
      <c r="T276" s="1"/>
      <c r="U276" s="1"/>
      <c r="V276" s="1"/>
      <c r="W276" s="5"/>
      <c r="X276" s="5"/>
      <c r="Y276" s="1"/>
      <c r="Z276" s="1"/>
      <c r="AA276" s="1"/>
      <c r="AB276" s="4"/>
      <c r="AC276" s="5"/>
    </row>
    <row r="277" spans="16:29" ht="15" thickBot="1">
      <c r="P277" s="1"/>
      <c r="Q277" s="4"/>
      <c r="R277" s="1"/>
      <c r="S277" s="1"/>
      <c r="T277" s="1"/>
      <c r="U277" s="1"/>
      <c r="V277" s="1"/>
      <c r="W277" s="5"/>
      <c r="X277" s="5"/>
      <c r="Y277" s="1"/>
      <c r="Z277" s="1"/>
      <c r="AA277" s="1"/>
      <c r="AB277" s="4"/>
      <c r="AC277" s="5"/>
    </row>
    <row r="278" spans="16:29" ht="15" thickBot="1">
      <c r="P278" s="1"/>
      <c r="Q278" s="4"/>
      <c r="R278" s="1"/>
      <c r="S278" s="1"/>
      <c r="T278" s="1"/>
      <c r="U278" s="1"/>
      <c r="V278" s="1"/>
      <c r="W278" s="5"/>
      <c r="X278" s="5"/>
      <c r="Y278" s="1"/>
      <c r="Z278" s="1"/>
      <c r="AA278" s="1"/>
      <c r="AB278" s="4"/>
      <c r="AC278" s="5"/>
    </row>
    <row r="279" spans="16:29" ht="15" thickBot="1">
      <c r="P279" s="1"/>
      <c r="Q279" s="4"/>
      <c r="R279" s="1"/>
      <c r="S279" s="1"/>
      <c r="T279" s="1"/>
      <c r="U279" s="1"/>
      <c r="V279" s="1"/>
      <c r="W279" s="5"/>
      <c r="X279" s="5"/>
      <c r="Y279" s="1"/>
      <c r="Z279" s="1"/>
      <c r="AA279" s="1"/>
      <c r="AB279" s="4"/>
      <c r="AC279" s="5"/>
    </row>
    <row r="280" spans="16:29" ht="15" thickBot="1">
      <c r="P280" s="1"/>
      <c r="Q280" s="4"/>
      <c r="R280" s="1"/>
      <c r="S280" s="1"/>
      <c r="T280" s="1"/>
      <c r="U280" s="1"/>
      <c r="V280" s="1"/>
      <c r="W280" s="5"/>
      <c r="X280" s="5"/>
      <c r="Y280" s="1"/>
      <c r="Z280" s="1"/>
      <c r="AA280" s="1"/>
      <c r="AB280" s="4"/>
      <c r="AC280" s="5"/>
    </row>
    <row r="281" spans="16:29" ht="15" thickBot="1">
      <c r="P281" s="1"/>
      <c r="Q281" s="4"/>
      <c r="R281" s="1"/>
      <c r="S281" s="1"/>
      <c r="T281" s="1"/>
      <c r="U281" s="1"/>
      <c r="V281" s="1"/>
      <c r="W281" s="5"/>
      <c r="X281" s="5"/>
      <c r="Y281" s="1"/>
      <c r="Z281" s="1"/>
      <c r="AA281" s="1"/>
      <c r="AB281" s="4"/>
      <c r="AC281" s="5"/>
    </row>
    <row r="282" spans="16:29" ht="15" thickBot="1">
      <c r="P282" s="1"/>
      <c r="Q282" s="4"/>
      <c r="R282" s="1"/>
      <c r="S282" s="1"/>
      <c r="T282" s="1"/>
      <c r="U282" s="1"/>
      <c r="V282" s="1"/>
      <c r="W282" s="5"/>
      <c r="X282" s="5"/>
      <c r="Y282" s="1"/>
      <c r="Z282" s="1"/>
      <c r="AA282" s="1"/>
      <c r="AB282" s="4"/>
      <c r="AC282" s="5"/>
    </row>
    <row r="283" spans="16:29" ht="15" thickBot="1">
      <c r="P283" s="1"/>
      <c r="Q283" s="4"/>
      <c r="R283" s="1"/>
      <c r="S283" s="1"/>
      <c r="T283" s="1"/>
      <c r="U283" s="1"/>
      <c r="V283" s="1"/>
      <c r="W283" s="5"/>
      <c r="X283" s="5"/>
      <c r="Y283" s="1"/>
      <c r="Z283" s="1"/>
      <c r="AA283" s="1"/>
      <c r="AB283" s="4"/>
      <c r="AC283" s="5"/>
    </row>
    <row r="284" spans="16:29" ht="15" thickBot="1">
      <c r="P284" s="1"/>
      <c r="Q284" s="4"/>
      <c r="R284" s="1"/>
      <c r="S284" s="1"/>
      <c r="T284" s="1"/>
      <c r="U284" s="1"/>
      <c r="V284" s="1"/>
      <c r="W284" s="5"/>
      <c r="X284" s="5"/>
      <c r="Y284" s="1"/>
      <c r="Z284" s="1"/>
      <c r="AA284" s="1"/>
      <c r="AB284" s="4"/>
      <c r="AC284" s="5"/>
    </row>
    <row r="285" spans="16:29" ht="15" thickBot="1">
      <c r="P285" s="1"/>
      <c r="Q285" s="4"/>
      <c r="R285" s="1"/>
      <c r="S285" s="1"/>
      <c r="T285" s="1"/>
      <c r="U285" s="1"/>
      <c r="V285" s="1"/>
      <c r="W285" s="5"/>
      <c r="X285" s="5"/>
      <c r="Y285" s="1"/>
      <c r="Z285" s="1"/>
      <c r="AA285" s="1"/>
      <c r="AB285" s="4"/>
      <c r="AC285" s="5"/>
    </row>
    <row r="286" spans="16:29" ht="15" thickBot="1">
      <c r="P286" s="1"/>
      <c r="Q286" s="4"/>
      <c r="R286" s="1"/>
      <c r="S286" s="1"/>
      <c r="T286" s="1"/>
      <c r="U286" s="1"/>
      <c r="V286" s="1"/>
      <c r="W286" s="5"/>
      <c r="X286" s="5"/>
      <c r="Y286" s="1"/>
      <c r="Z286" s="1"/>
      <c r="AA286" s="1"/>
      <c r="AB286" s="4"/>
      <c r="AC286" s="5"/>
    </row>
    <row r="287" spans="16:29" ht="15" thickBot="1">
      <c r="P287" s="1"/>
      <c r="Q287" s="4"/>
      <c r="R287" s="1"/>
      <c r="S287" s="1"/>
      <c r="T287" s="1"/>
      <c r="U287" s="1"/>
      <c r="V287" s="1"/>
      <c r="W287" s="5"/>
      <c r="X287" s="5"/>
      <c r="Y287" s="1"/>
      <c r="Z287" s="1"/>
      <c r="AA287" s="1"/>
      <c r="AB287" s="4"/>
      <c r="AC287" s="5"/>
    </row>
    <row r="288" spans="16:29" ht="15" thickBot="1">
      <c r="P288" s="1"/>
      <c r="Q288" s="4"/>
      <c r="R288" s="1"/>
      <c r="S288" s="1"/>
      <c r="T288" s="1"/>
      <c r="U288" s="1"/>
      <c r="V288" s="1"/>
      <c r="W288" s="5"/>
      <c r="X288" s="5"/>
      <c r="Y288" s="1"/>
      <c r="Z288" s="1"/>
      <c r="AA288" s="1"/>
      <c r="AB288" s="4"/>
      <c r="AC288" s="5"/>
    </row>
    <row r="289" spans="16:29" ht="15" thickBot="1">
      <c r="P289" s="1"/>
      <c r="Q289" s="4"/>
      <c r="R289" s="1"/>
      <c r="S289" s="1"/>
      <c r="T289" s="1"/>
      <c r="U289" s="1"/>
      <c r="V289" s="1"/>
      <c r="W289" s="5"/>
      <c r="X289" s="5"/>
      <c r="Y289" s="1"/>
      <c r="Z289" s="1"/>
      <c r="AA289" s="1"/>
      <c r="AB289" s="4"/>
      <c r="AC289" s="5"/>
    </row>
    <row r="290" spans="16:29" ht="15" thickBot="1">
      <c r="P290" s="1"/>
      <c r="Q290" s="4"/>
      <c r="R290" s="1"/>
      <c r="S290" s="1"/>
      <c r="T290" s="1"/>
      <c r="U290" s="1"/>
      <c r="V290" s="1"/>
      <c r="W290" s="5"/>
      <c r="X290" s="5"/>
      <c r="Y290" s="1"/>
      <c r="Z290" s="1"/>
      <c r="AA290" s="1"/>
      <c r="AB290" s="4"/>
      <c r="AC290" s="5"/>
    </row>
    <row r="291" spans="16:29" ht="15" thickBot="1">
      <c r="P291" s="1"/>
      <c r="Q291" s="4"/>
      <c r="R291" s="1"/>
      <c r="S291" s="1"/>
      <c r="T291" s="1"/>
      <c r="U291" s="1"/>
      <c r="V291" s="1"/>
      <c r="W291" s="5"/>
      <c r="X291" s="5"/>
      <c r="Y291" s="1"/>
      <c r="Z291" s="1"/>
      <c r="AA291" s="1"/>
      <c r="AB291" s="4"/>
      <c r="AC291" s="5"/>
    </row>
    <row r="292" spans="16:29" ht="15" thickBot="1">
      <c r="P292" s="1"/>
      <c r="Q292" s="4"/>
      <c r="R292" s="1"/>
      <c r="S292" s="1"/>
      <c r="T292" s="1"/>
      <c r="U292" s="1"/>
      <c r="V292" s="1"/>
      <c r="W292" s="5"/>
      <c r="X292" s="5"/>
      <c r="Y292" s="1"/>
      <c r="Z292" s="1"/>
      <c r="AA292" s="1"/>
      <c r="AB292" s="4"/>
      <c r="AC292" s="5"/>
    </row>
    <row r="293" spans="16:29" ht="15" thickBot="1">
      <c r="P293" s="1"/>
      <c r="Q293" s="4"/>
      <c r="R293" s="1"/>
      <c r="S293" s="1"/>
      <c r="T293" s="1"/>
      <c r="U293" s="1"/>
      <c r="V293" s="1"/>
      <c r="W293" s="5"/>
      <c r="X293" s="5"/>
      <c r="Y293" s="1"/>
      <c r="Z293" s="1"/>
      <c r="AA293" s="1"/>
      <c r="AB293" s="4"/>
      <c r="AC293" s="5"/>
    </row>
    <row r="294" spans="16:29" ht="15" thickBot="1">
      <c r="P294" s="1"/>
      <c r="Q294" s="4"/>
      <c r="R294" s="1"/>
      <c r="S294" s="1"/>
      <c r="T294" s="1"/>
      <c r="U294" s="1"/>
      <c r="V294" s="1"/>
      <c r="W294" s="5"/>
      <c r="X294" s="5"/>
      <c r="Y294" s="1"/>
      <c r="Z294" s="1"/>
      <c r="AA294" s="1"/>
      <c r="AB294" s="4"/>
      <c r="AC294" s="5"/>
    </row>
    <row r="295" spans="16:29" ht="15" thickBot="1">
      <c r="P295" s="1"/>
      <c r="Q295" s="4"/>
      <c r="R295" s="1"/>
      <c r="S295" s="1"/>
      <c r="T295" s="1"/>
      <c r="U295" s="1"/>
      <c r="V295" s="1"/>
      <c r="W295" s="5"/>
      <c r="X295" s="5"/>
      <c r="Y295" s="1"/>
      <c r="Z295" s="1"/>
      <c r="AA295" s="1"/>
      <c r="AB295" s="4"/>
      <c r="AC295" s="5"/>
    </row>
    <row r="296" spans="16:29" ht="15" thickBot="1">
      <c r="P296" s="1"/>
      <c r="Q296" s="4"/>
      <c r="R296" s="1"/>
      <c r="S296" s="1"/>
      <c r="T296" s="1"/>
      <c r="U296" s="1"/>
      <c r="V296" s="1"/>
      <c r="W296" s="5"/>
      <c r="X296" s="5"/>
      <c r="Y296" s="1"/>
      <c r="Z296" s="1"/>
      <c r="AA296" s="1"/>
      <c r="AB296" s="4"/>
      <c r="AC296" s="5"/>
    </row>
    <row r="297" spans="16:29" ht="15" thickBot="1">
      <c r="P297" s="1"/>
      <c r="Q297" s="4"/>
      <c r="R297" s="1"/>
      <c r="S297" s="1"/>
      <c r="T297" s="1"/>
      <c r="U297" s="1"/>
      <c r="V297" s="1"/>
      <c r="W297" s="5"/>
      <c r="X297" s="5"/>
      <c r="Y297" s="1"/>
      <c r="Z297" s="1"/>
      <c r="AA297" s="1"/>
      <c r="AB297" s="4"/>
      <c r="AC297" s="5"/>
    </row>
    <row r="298" spans="16:29" ht="15" thickBot="1">
      <c r="P298" s="1"/>
      <c r="Q298" s="4"/>
      <c r="R298" s="1"/>
      <c r="S298" s="1"/>
      <c r="T298" s="1"/>
      <c r="U298" s="1"/>
      <c r="V298" s="1"/>
      <c r="W298" s="5"/>
      <c r="X298" s="5"/>
      <c r="Y298" s="1"/>
      <c r="Z298" s="1"/>
      <c r="AA298" s="1"/>
      <c r="AB298" s="4"/>
      <c r="AC298" s="5"/>
    </row>
    <row r="299" spans="16:29" ht="15" thickBot="1">
      <c r="P299" s="1"/>
      <c r="Q299" s="4"/>
      <c r="R299" s="1"/>
      <c r="S299" s="1"/>
      <c r="T299" s="1"/>
      <c r="U299" s="1"/>
      <c r="V299" s="1"/>
      <c r="W299" s="5"/>
      <c r="X299" s="5"/>
      <c r="Y299" s="1"/>
      <c r="Z299" s="1"/>
      <c r="AA299" s="1"/>
      <c r="AB299" s="4"/>
      <c r="AC299" s="5"/>
    </row>
    <row r="300" spans="16:29" ht="15" thickBot="1">
      <c r="P300" s="1"/>
      <c r="Q300" s="4"/>
      <c r="R300" s="1"/>
      <c r="S300" s="1"/>
      <c r="T300" s="1"/>
      <c r="U300" s="1"/>
      <c r="V300" s="1"/>
      <c r="W300" s="5"/>
      <c r="X300" s="5"/>
      <c r="Y300" s="1"/>
      <c r="Z300" s="1"/>
      <c r="AA300" s="1"/>
      <c r="AB300" s="4"/>
      <c r="AC300" s="5"/>
    </row>
    <row r="301" spans="16:29" ht="15" thickBot="1">
      <c r="P301" s="1"/>
      <c r="Q301" s="4"/>
      <c r="R301" s="1"/>
      <c r="S301" s="1"/>
      <c r="T301" s="1"/>
      <c r="U301" s="1"/>
      <c r="V301" s="1"/>
      <c r="W301" s="5"/>
      <c r="X301" s="5"/>
      <c r="Y301" s="1"/>
      <c r="Z301" s="1"/>
      <c r="AA301" s="1"/>
      <c r="AB301" s="4"/>
      <c r="AC301" s="5"/>
    </row>
    <row r="302" spans="16:29" ht="15" thickBot="1">
      <c r="P302" s="1"/>
      <c r="Q302" s="4"/>
      <c r="R302" s="1"/>
      <c r="S302" s="1"/>
      <c r="T302" s="1"/>
      <c r="U302" s="1"/>
      <c r="V302" s="1"/>
      <c r="W302" s="5"/>
      <c r="X302" s="5"/>
      <c r="Y302" s="1"/>
      <c r="Z302" s="1"/>
      <c r="AA302" s="1"/>
      <c r="AB302" s="4"/>
      <c r="AC302" s="5"/>
    </row>
    <row r="303" spans="16:29" ht="15" thickBot="1">
      <c r="P303" s="1"/>
      <c r="Q303" s="4"/>
      <c r="R303" s="1"/>
      <c r="S303" s="1"/>
      <c r="T303" s="1"/>
      <c r="U303" s="1"/>
      <c r="V303" s="1"/>
      <c r="W303" s="5"/>
      <c r="X303" s="5"/>
      <c r="Y303" s="1"/>
      <c r="Z303" s="1"/>
      <c r="AA303" s="1"/>
      <c r="AB303" s="4"/>
      <c r="AC303" s="5"/>
    </row>
    <row r="304" spans="16:29" ht="15" thickBot="1">
      <c r="P304" s="1"/>
      <c r="Q304" s="4"/>
      <c r="R304" s="1"/>
      <c r="S304" s="1"/>
      <c r="T304" s="1"/>
      <c r="U304" s="1"/>
      <c r="V304" s="1"/>
      <c r="W304" s="5"/>
      <c r="X304" s="5"/>
      <c r="Y304" s="1"/>
      <c r="Z304" s="1"/>
      <c r="AA304" s="1"/>
      <c r="AB304" s="4"/>
      <c r="AC304" s="5"/>
    </row>
    <row r="305" spans="16:29" ht="15" thickBot="1">
      <c r="P305" s="1"/>
      <c r="Q305" s="4"/>
      <c r="R305" s="1"/>
      <c r="S305" s="1"/>
      <c r="T305" s="1"/>
      <c r="U305" s="1"/>
      <c r="V305" s="1"/>
      <c r="W305" s="5"/>
      <c r="X305" s="5"/>
      <c r="Y305" s="1"/>
      <c r="Z305" s="1"/>
      <c r="AA305" s="1"/>
      <c r="AB305" s="4"/>
      <c r="AC305" s="5"/>
    </row>
    <row r="306" spans="16:29" ht="15" thickBot="1">
      <c r="P306" s="1"/>
      <c r="Q306" s="4"/>
      <c r="R306" s="1"/>
      <c r="S306" s="1"/>
      <c r="T306" s="1"/>
      <c r="U306" s="1"/>
      <c r="V306" s="1"/>
      <c r="W306" s="5"/>
      <c r="X306" s="5"/>
      <c r="Y306" s="1"/>
      <c r="Z306" s="1"/>
      <c r="AA306" s="1"/>
      <c r="AB306" s="4"/>
      <c r="AC306" s="5"/>
    </row>
    <row r="307" spans="16:29" ht="15" thickBot="1">
      <c r="P307" s="1"/>
      <c r="Q307" s="4"/>
      <c r="R307" s="1"/>
      <c r="S307" s="1"/>
      <c r="T307" s="1"/>
      <c r="U307" s="1"/>
      <c r="V307" s="1"/>
      <c r="W307" s="5"/>
      <c r="X307" s="5"/>
      <c r="Y307" s="1"/>
      <c r="Z307" s="1"/>
      <c r="AA307" s="1"/>
      <c r="AB307" s="4"/>
      <c r="AC307" s="5"/>
    </row>
    <row r="308" spans="16:29" ht="15" thickBot="1">
      <c r="P308" s="1"/>
      <c r="Q308" s="4"/>
      <c r="R308" s="1"/>
      <c r="S308" s="1"/>
      <c r="T308" s="1"/>
      <c r="U308" s="1"/>
      <c r="V308" s="1"/>
      <c r="W308" s="5"/>
      <c r="X308" s="5"/>
      <c r="Y308" s="1"/>
      <c r="Z308" s="1"/>
      <c r="AA308" s="1"/>
      <c r="AB308" s="4"/>
      <c r="AC308" s="5"/>
    </row>
    <row r="309" spans="16:29" ht="15" thickBot="1">
      <c r="P309" s="1"/>
      <c r="Q309" s="4"/>
      <c r="R309" s="1"/>
      <c r="S309" s="1"/>
      <c r="T309" s="1"/>
      <c r="U309" s="1"/>
      <c r="V309" s="1"/>
      <c r="W309" s="5"/>
      <c r="X309" s="5"/>
      <c r="Y309" s="1"/>
      <c r="Z309" s="1"/>
      <c r="AA309" s="1"/>
      <c r="AB309" s="4"/>
      <c r="AC309" s="5"/>
    </row>
    <row r="310" spans="16:29" ht="15" thickBot="1">
      <c r="P310" s="1"/>
      <c r="Q310" s="4"/>
      <c r="R310" s="1"/>
      <c r="S310" s="1"/>
      <c r="T310" s="1"/>
      <c r="U310" s="1"/>
      <c r="V310" s="1"/>
      <c r="W310" s="5"/>
      <c r="X310" s="5"/>
      <c r="Y310" s="1"/>
      <c r="Z310" s="1"/>
      <c r="AA310" s="1"/>
      <c r="AB310" s="4"/>
      <c r="AC310" s="5"/>
    </row>
    <row r="311" spans="16:29" ht="15" thickBot="1">
      <c r="P311" s="1"/>
      <c r="Q311" s="4"/>
      <c r="R311" s="1"/>
      <c r="S311" s="1"/>
      <c r="T311" s="1"/>
      <c r="U311" s="1"/>
      <c r="V311" s="1"/>
      <c r="W311" s="5"/>
      <c r="X311" s="5"/>
      <c r="Y311" s="1"/>
      <c r="Z311" s="1"/>
      <c r="AA311" s="1"/>
      <c r="AB311" s="4"/>
      <c r="AC311" s="5"/>
    </row>
    <row r="312" spans="16:29" ht="15" thickBot="1">
      <c r="P312" s="1"/>
      <c r="Q312" s="4"/>
      <c r="R312" s="1"/>
      <c r="S312" s="1"/>
      <c r="T312" s="1"/>
      <c r="U312" s="1"/>
      <c r="V312" s="1"/>
      <c r="W312" s="5"/>
      <c r="X312" s="5"/>
      <c r="Y312" s="1"/>
      <c r="Z312" s="1"/>
      <c r="AA312" s="1"/>
      <c r="AB312" s="4"/>
      <c r="AC312" s="5"/>
    </row>
    <row r="313" spans="16:29" ht="15" thickBot="1">
      <c r="P313" s="1"/>
      <c r="Q313" s="4"/>
      <c r="R313" s="1"/>
      <c r="S313" s="1"/>
      <c r="T313" s="1"/>
      <c r="U313" s="1"/>
      <c r="V313" s="1"/>
      <c r="W313" s="5"/>
      <c r="X313" s="5"/>
      <c r="Y313" s="1"/>
      <c r="Z313" s="1"/>
      <c r="AA313" s="1"/>
      <c r="AB313" s="4"/>
      <c r="AC313" s="5"/>
    </row>
    <row r="314" spans="16:29" ht="15" thickBot="1">
      <c r="P314" s="1"/>
      <c r="Q314" s="4"/>
      <c r="R314" s="1"/>
      <c r="S314" s="1"/>
      <c r="T314" s="1"/>
      <c r="U314" s="1"/>
      <c r="V314" s="1"/>
      <c r="W314" s="5"/>
      <c r="X314" s="5"/>
      <c r="Y314" s="1"/>
      <c r="Z314" s="1"/>
      <c r="AA314" s="1"/>
      <c r="AB314" s="4"/>
      <c r="AC314" s="5"/>
    </row>
    <row r="315" spans="16:29" ht="15" thickBot="1">
      <c r="P315" s="1"/>
      <c r="Q315" s="4"/>
      <c r="R315" s="1"/>
      <c r="S315" s="1"/>
      <c r="T315" s="1"/>
      <c r="U315" s="1"/>
      <c r="V315" s="1"/>
      <c r="W315" s="5"/>
      <c r="X315" s="5"/>
      <c r="Y315" s="1"/>
      <c r="Z315" s="1"/>
      <c r="AA315" s="1"/>
      <c r="AB315" s="4"/>
      <c r="AC315" s="5"/>
    </row>
    <row r="316" spans="16:29" ht="15" thickBot="1">
      <c r="P316" s="1"/>
      <c r="Q316" s="4"/>
      <c r="R316" s="1"/>
      <c r="S316" s="1"/>
      <c r="T316" s="1"/>
      <c r="U316" s="1"/>
      <c r="V316" s="1"/>
      <c r="W316" s="5"/>
      <c r="X316" s="5"/>
      <c r="Y316" s="1"/>
      <c r="Z316" s="1"/>
      <c r="AA316" s="1"/>
      <c r="AB316" s="4"/>
      <c r="AC316" s="5"/>
    </row>
    <row r="317" spans="16:29" ht="15" thickBot="1">
      <c r="P317" s="1"/>
      <c r="Q317" s="4"/>
      <c r="R317" s="1"/>
      <c r="S317" s="1"/>
      <c r="T317" s="1"/>
      <c r="U317" s="1"/>
      <c r="V317" s="1"/>
      <c r="W317" s="5"/>
      <c r="X317" s="5"/>
      <c r="Y317" s="1"/>
      <c r="Z317" s="1"/>
      <c r="AA317" s="1"/>
      <c r="AB317" s="4"/>
      <c r="AC317" s="5"/>
    </row>
    <row r="318" spans="16:29" ht="15" thickBot="1">
      <c r="P318" s="1"/>
      <c r="Q318" s="4"/>
      <c r="R318" s="1"/>
      <c r="S318" s="1"/>
      <c r="T318" s="1"/>
      <c r="U318" s="1"/>
      <c r="V318" s="1"/>
      <c r="W318" s="5"/>
      <c r="X318" s="5"/>
      <c r="Y318" s="1"/>
      <c r="Z318" s="1"/>
      <c r="AA318" s="1"/>
      <c r="AB318" s="4"/>
      <c r="AC318" s="5"/>
    </row>
    <row r="319" spans="16:29" ht="15" thickBot="1">
      <c r="P319" s="1"/>
      <c r="Q319" s="4"/>
      <c r="R319" s="1"/>
      <c r="S319" s="1"/>
      <c r="T319" s="1"/>
      <c r="U319" s="1"/>
      <c r="V319" s="1"/>
      <c r="W319" s="5"/>
      <c r="X319" s="5"/>
      <c r="Y319" s="1"/>
      <c r="Z319" s="1"/>
      <c r="AA319" s="1"/>
      <c r="AB319" s="4"/>
      <c r="AC319" s="5"/>
    </row>
    <row r="320" spans="16:29" ht="15" thickBot="1">
      <c r="P320" s="1"/>
      <c r="Q320" s="4"/>
      <c r="R320" s="1"/>
      <c r="S320" s="1"/>
      <c r="T320" s="1"/>
      <c r="U320" s="1"/>
      <c r="V320" s="1"/>
      <c r="W320" s="5"/>
      <c r="X320" s="5"/>
      <c r="Y320" s="1"/>
      <c r="Z320" s="1"/>
      <c r="AA320" s="1"/>
      <c r="AB320" s="4"/>
      <c r="AC320" s="5"/>
    </row>
    <row r="321" spans="16:29" ht="15" thickBot="1">
      <c r="P321" s="1"/>
      <c r="Q321" s="4"/>
      <c r="R321" s="1"/>
      <c r="S321" s="1"/>
      <c r="T321" s="1"/>
      <c r="U321" s="1"/>
      <c r="V321" s="1"/>
      <c r="W321" s="5"/>
      <c r="X321" s="5"/>
      <c r="Y321" s="1"/>
      <c r="Z321" s="1"/>
      <c r="AA321" s="1"/>
      <c r="AB321" s="4"/>
      <c r="AC321" s="5"/>
    </row>
    <row r="322" spans="16:29" ht="15" thickBot="1">
      <c r="P322" s="1"/>
      <c r="Q322" s="4"/>
      <c r="R322" s="1"/>
      <c r="S322" s="1"/>
      <c r="T322" s="1"/>
      <c r="U322" s="1"/>
      <c r="V322" s="1"/>
      <c r="W322" s="5"/>
      <c r="X322" s="5"/>
      <c r="Y322" s="1"/>
      <c r="Z322" s="1"/>
      <c r="AA322" s="1"/>
      <c r="AB322" s="4"/>
      <c r="AC322" s="5"/>
    </row>
    <row r="323" spans="16:29" ht="15" thickBot="1">
      <c r="P323" s="1"/>
      <c r="Q323" s="4"/>
      <c r="R323" s="1"/>
      <c r="S323" s="1"/>
      <c r="T323" s="1"/>
      <c r="U323" s="1"/>
      <c r="V323" s="1"/>
      <c r="W323" s="5"/>
      <c r="X323" s="5"/>
      <c r="Y323" s="1"/>
      <c r="Z323" s="1"/>
      <c r="AA323" s="1"/>
      <c r="AB323" s="4"/>
      <c r="AC323" s="5"/>
    </row>
    <row r="324" spans="16:29" ht="15" thickBot="1">
      <c r="P324" s="1"/>
      <c r="Q324" s="4"/>
      <c r="R324" s="1"/>
      <c r="S324" s="1"/>
      <c r="T324" s="1"/>
      <c r="U324" s="1"/>
      <c r="V324" s="1"/>
      <c r="W324" s="5"/>
      <c r="X324" s="5"/>
      <c r="Y324" s="1"/>
      <c r="Z324" s="1"/>
      <c r="AA324" s="1"/>
      <c r="AB324" s="4"/>
      <c r="AC324" s="5"/>
    </row>
    <row r="325" spans="16:29" ht="15" thickBot="1">
      <c r="P325" s="1"/>
      <c r="Q325" s="4"/>
      <c r="R325" s="1"/>
      <c r="S325" s="1"/>
      <c r="T325" s="1"/>
      <c r="U325" s="1"/>
      <c r="V325" s="1"/>
      <c r="W325" s="5"/>
      <c r="X325" s="5"/>
      <c r="Y325" s="1"/>
      <c r="Z325" s="1"/>
      <c r="AA325" s="1"/>
      <c r="AB325" s="4"/>
      <c r="AC325" s="5"/>
    </row>
    <row r="326" spans="16:29" ht="15" thickBot="1">
      <c r="P326" s="1"/>
      <c r="Q326" s="4"/>
      <c r="R326" s="1"/>
      <c r="S326" s="1"/>
      <c r="T326" s="1"/>
      <c r="U326" s="1"/>
      <c r="V326" s="1"/>
      <c r="W326" s="5"/>
      <c r="X326" s="5"/>
      <c r="Y326" s="1"/>
      <c r="Z326" s="1"/>
      <c r="AA326" s="1"/>
      <c r="AB326" s="4"/>
      <c r="AC326" s="5"/>
    </row>
    <row r="327" spans="16:29" ht="15" thickBot="1">
      <c r="P327" s="1"/>
      <c r="Q327" s="4"/>
      <c r="R327" s="1"/>
      <c r="S327" s="1"/>
      <c r="T327" s="1"/>
      <c r="U327" s="1"/>
      <c r="V327" s="1"/>
      <c r="W327" s="5"/>
      <c r="X327" s="5"/>
      <c r="Y327" s="1"/>
      <c r="Z327" s="1"/>
      <c r="AA327" s="1"/>
      <c r="AB327" s="4"/>
      <c r="AC327" s="5"/>
    </row>
    <row r="328" spans="16:29" ht="15" thickBot="1">
      <c r="P328" s="1"/>
      <c r="Q328" s="4"/>
      <c r="R328" s="1"/>
      <c r="S328" s="1"/>
      <c r="T328" s="1"/>
      <c r="U328" s="1"/>
      <c r="V328" s="1"/>
      <c r="W328" s="5"/>
      <c r="X328" s="5"/>
      <c r="Y328" s="1"/>
      <c r="Z328" s="1"/>
      <c r="AA328" s="1"/>
      <c r="AB328" s="4"/>
      <c r="AC328" s="5"/>
    </row>
    <row r="329" spans="16:29" ht="15" thickBot="1">
      <c r="P329" s="1"/>
      <c r="Q329" s="4"/>
      <c r="R329" s="1"/>
      <c r="S329" s="1"/>
      <c r="T329" s="1"/>
      <c r="U329" s="1"/>
      <c r="V329" s="1"/>
      <c r="W329" s="5"/>
      <c r="X329" s="5"/>
      <c r="Y329" s="1"/>
      <c r="Z329" s="1"/>
      <c r="AA329" s="1"/>
      <c r="AB329" s="4"/>
      <c r="AC329" s="5"/>
    </row>
    <row r="330" spans="16:29" ht="15" thickBot="1">
      <c r="P330" s="1"/>
      <c r="Q330" s="4"/>
      <c r="R330" s="1"/>
      <c r="S330" s="1"/>
      <c r="T330" s="1"/>
      <c r="U330" s="1"/>
      <c r="V330" s="1"/>
      <c r="W330" s="5"/>
      <c r="X330" s="5"/>
      <c r="Y330" s="1"/>
      <c r="Z330" s="1"/>
      <c r="AA330" s="1"/>
      <c r="AB330" s="4"/>
      <c r="AC330" s="5"/>
    </row>
    <row r="331" spans="16:29" ht="15" thickBot="1">
      <c r="P331" s="1"/>
      <c r="Q331" s="4"/>
      <c r="R331" s="1"/>
      <c r="S331" s="1"/>
      <c r="T331" s="1"/>
      <c r="U331" s="1"/>
      <c r="V331" s="1"/>
      <c r="W331" s="5"/>
      <c r="X331" s="5"/>
      <c r="Y331" s="1"/>
      <c r="Z331" s="1"/>
      <c r="AA331" s="1"/>
      <c r="AB331" s="4"/>
      <c r="AC331" s="5"/>
    </row>
    <row r="332" spans="16:29" ht="15" thickBot="1">
      <c r="P332" s="1"/>
      <c r="Q332" s="4"/>
      <c r="R332" s="1"/>
      <c r="S332" s="1"/>
      <c r="T332" s="1"/>
      <c r="U332" s="1"/>
      <c r="V332" s="1"/>
      <c r="W332" s="5"/>
      <c r="X332" s="5"/>
      <c r="Y332" s="1"/>
      <c r="Z332" s="1"/>
      <c r="AA332" s="1"/>
      <c r="AB332" s="4"/>
      <c r="AC332" s="5"/>
    </row>
    <row r="333" spans="16:29" ht="15" thickBot="1">
      <c r="P333" s="1"/>
      <c r="Q333" s="4"/>
      <c r="R333" s="1"/>
      <c r="S333" s="1"/>
      <c r="T333" s="1"/>
      <c r="U333" s="1"/>
      <c r="V333" s="1"/>
      <c r="W333" s="5"/>
      <c r="X333" s="5"/>
      <c r="Y333" s="1"/>
      <c r="Z333" s="1"/>
      <c r="AA333" s="1"/>
      <c r="AB333" s="4"/>
      <c r="AC333" s="5"/>
    </row>
    <row r="334" spans="16:29" ht="15" thickBot="1">
      <c r="P334" s="1"/>
      <c r="Q334" s="4"/>
      <c r="R334" s="1"/>
      <c r="S334" s="1"/>
      <c r="T334" s="1"/>
      <c r="U334" s="1"/>
      <c r="V334" s="1"/>
      <c r="W334" s="5"/>
      <c r="X334" s="5"/>
      <c r="Y334" s="1"/>
      <c r="Z334" s="1"/>
      <c r="AA334" s="1"/>
      <c r="AB334" s="4"/>
      <c r="AC334" s="5"/>
    </row>
    <row r="335" spans="16:29" ht="15" thickBot="1">
      <c r="P335" s="1"/>
      <c r="Q335" s="4"/>
      <c r="R335" s="1"/>
      <c r="S335" s="1"/>
      <c r="T335" s="1"/>
      <c r="U335" s="1"/>
      <c r="V335" s="1"/>
      <c r="W335" s="5"/>
      <c r="X335" s="5"/>
      <c r="Y335" s="1"/>
      <c r="Z335" s="1"/>
      <c r="AA335" s="1"/>
      <c r="AB335" s="4"/>
      <c r="AC335" s="5"/>
    </row>
    <row r="336" spans="16:29" ht="15" thickBot="1">
      <c r="P336" s="1"/>
      <c r="Q336" s="4"/>
      <c r="R336" s="1"/>
      <c r="S336" s="1"/>
      <c r="T336" s="1"/>
      <c r="U336" s="1"/>
      <c r="V336" s="1"/>
      <c r="W336" s="5"/>
      <c r="X336" s="5"/>
      <c r="Y336" s="1"/>
      <c r="Z336" s="1"/>
      <c r="AA336" s="1"/>
      <c r="AB336" s="4"/>
      <c r="AC336" s="5"/>
    </row>
    <row r="337" spans="16:29" ht="15" thickBot="1">
      <c r="P337" s="1"/>
      <c r="Q337" s="4"/>
      <c r="R337" s="1"/>
      <c r="S337" s="1"/>
      <c r="T337" s="1"/>
      <c r="U337" s="1"/>
      <c r="V337" s="1"/>
      <c r="W337" s="5"/>
      <c r="X337" s="5"/>
      <c r="Y337" s="1"/>
      <c r="Z337" s="1"/>
      <c r="AA337" s="1"/>
      <c r="AB337" s="4"/>
      <c r="AC337" s="5"/>
    </row>
    <row r="338" spans="16:29" ht="15" thickBot="1">
      <c r="P338" s="1"/>
      <c r="Q338" s="4"/>
      <c r="R338" s="1"/>
      <c r="S338" s="1"/>
      <c r="T338" s="1"/>
      <c r="U338" s="1"/>
      <c r="V338" s="1"/>
      <c r="W338" s="5"/>
      <c r="X338" s="5"/>
      <c r="Y338" s="1"/>
      <c r="Z338" s="1"/>
      <c r="AA338" s="1"/>
      <c r="AB338" s="4"/>
      <c r="AC338" s="5"/>
    </row>
    <row r="339" spans="16:29" ht="15" thickBot="1">
      <c r="P339" s="1"/>
      <c r="Q339" s="4"/>
      <c r="R339" s="1"/>
      <c r="S339" s="1"/>
      <c r="T339" s="1"/>
      <c r="U339" s="1"/>
      <c r="V339" s="1"/>
      <c r="W339" s="5"/>
      <c r="X339" s="5"/>
      <c r="Y339" s="1"/>
      <c r="Z339" s="1"/>
      <c r="AA339" s="1"/>
      <c r="AB339" s="4"/>
      <c r="AC339" s="5"/>
    </row>
    <row r="340" spans="16:29" ht="15" thickBot="1">
      <c r="P340" s="1"/>
      <c r="Q340" s="4"/>
      <c r="R340" s="1"/>
      <c r="S340" s="1"/>
      <c r="T340" s="1"/>
      <c r="U340" s="1"/>
      <c r="V340" s="1"/>
      <c r="W340" s="5"/>
      <c r="X340" s="5"/>
      <c r="Y340" s="1"/>
      <c r="Z340" s="1"/>
      <c r="AA340" s="1"/>
      <c r="AB340" s="4"/>
      <c r="AC340" s="5"/>
    </row>
    <row r="341" spans="16:29" ht="15" thickBot="1">
      <c r="P341" s="1"/>
      <c r="Q341" s="4"/>
      <c r="R341" s="1"/>
      <c r="S341" s="1"/>
      <c r="T341" s="1"/>
      <c r="U341" s="1"/>
      <c r="V341" s="1"/>
      <c r="W341" s="5"/>
      <c r="X341" s="5"/>
      <c r="Y341" s="1"/>
      <c r="Z341" s="1"/>
      <c r="AA341" s="1"/>
      <c r="AB341" s="4"/>
      <c r="AC341" s="5"/>
    </row>
    <row r="342" spans="16:29" ht="15" thickBot="1">
      <c r="P342" s="1"/>
      <c r="Q342" s="4"/>
      <c r="R342" s="1"/>
      <c r="S342" s="1"/>
      <c r="T342" s="1"/>
      <c r="U342" s="1"/>
      <c r="V342" s="1"/>
      <c r="W342" s="5"/>
      <c r="X342" s="5"/>
      <c r="Y342" s="1"/>
      <c r="Z342" s="1"/>
      <c r="AA342" s="1"/>
      <c r="AB342" s="4"/>
      <c r="AC342" s="5"/>
    </row>
    <row r="343" spans="16:29" ht="15" thickBot="1">
      <c r="P343" s="1"/>
      <c r="Q343" s="4"/>
      <c r="R343" s="1"/>
      <c r="S343" s="1"/>
      <c r="T343" s="1"/>
      <c r="U343" s="1"/>
      <c r="V343" s="1"/>
      <c r="W343" s="5"/>
      <c r="X343" s="5"/>
      <c r="Y343" s="1"/>
      <c r="Z343" s="1"/>
      <c r="AA343" s="1"/>
      <c r="AB343" s="4"/>
      <c r="AC343" s="5"/>
    </row>
    <row r="344" spans="16:29" ht="15" thickBot="1">
      <c r="P344" s="1"/>
      <c r="Q344" s="4"/>
      <c r="R344" s="1"/>
      <c r="S344" s="1"/>
      <c r="T344" s="1"/>
      <c r="U344" s="1"/>
      <c r="V344" s="1"/>
      <c r="W344" s="5"/>
      <c r="X344" s="5"/>
      <c r="Y344" s="1"/>
      <c r="Z344" s="1"/>
      <c r="AA344" s="1"/>
      <c r="AB344" s="4"/>
      <c r="AC344" s="5"/>
    </row>
    <row r="345" spans="16:29" ht="15" thickBot="1">
      <c r="P345" s="1"/>
      <c r="Q345" s="4"/>
      <c r="R345" s="1"/>
      <c r="S345" s="1"/>
      <c r="T345" s="1"/>
      <c r="U345" s="1"/>
      <c r="V345" s="1"/>
      <c r="W345" s="5"/>
      <c r="X345" s="5"/>
      <c r="Y345" s="1"/>
      <c r="Z345" s="1"/>
      <c r="AA345" s="1"/>
      <c r="AB345" s="4"/>
      <c r="AC345" s="5"/>
    </row>
    <row r="346" spans="16:29" ht="15" thickBot="1">
      <c r="P346" s="1"/>
      <c r="Q346" s="4"/>
      <c r="R346" s="1"/>
      <c r="S346" s="1"/>
      <c r="T346" s="1"/>
      <c r="U346" s="1"/>
      <c r="V346" s="1"/>
      <c r="W346" s="5"/>
      <c r="X346" s="5"/>
      <c r="Y346" s="1"/>
      <c r="Z346" s="1"/>
      <c r="AA346" s="1"/>
      <c r="AB346" s="4"/>
      <c r="AC346" s="5"/>
    </row>
    <row r="347" spans="16:29" ht="15" thickBot="1">
      <c r="P347" s="1"/>
      <c r="Q347" s="4"/>
      <c r="R347" s="1"/>
      <c r="S347" s="1"/>
      <c r="T347" s="1"/>
      <c r="U347" s="1"/>
      <c r="V347" s="1"/>
      <c r="W347" s="5"/>
      <c r="X347" s="5"/>
      <c r="Y347" s="1"/>
      <c r="Z347" s="1"/>
      <c r="AA347" s="1"/>
      <c r="AB347" s="4"/>
      <c r="AC347" s="5"/>
    </row>
    <row r="348" spans="16:29" ht="15" thickBot="1">
      <c r="P348" s="1"/>
      <c r="Q348" s="4"/>
      <c r="R348" s="1"/>
      <c r="S348" s="1"/>
      <c r="T348" s="1"/>
      <c r="U348" s="1"/>
      <c r="V348" s="1"/>
      <c r="W348" s="5"/>
      <c r="X348" s="5"/>
      <c r="Y348" s="1"/>
      <c r="Z348" s="1"/>
      <c r="AA348" s="1"/>
      <c r="AB348" s="4"/>
      <c r="AC348" s="5"/>
    </row>
    <row r="349" spans="16:29" ht="15" thickBot="1">
      <c r="P349" s="1"/>
      <c r="Q349" s="4"/>
      <c r="R349" s="1"/>
      <c r="S349" s="1"/>
      <c r="T349" s="1"/>
      <c r="U349" s="1"/>
      <c r="V349" s="1"/>
      <c r="W349" s="5"/>
      <c r="X349" s="5"/>
      <c r="Y349" s="1"/>
      <c r="Z349" s="1"/>
      <c r="AA349" s="1"/>
      <c r="AB349" s="4"/>
      <c r="AC349" s="5"/>
    </row>
    <row r="350" spans="16:29" ht="15" thickBot="1">
      <c r="P350" s="1"/>
      <c r="Q350" s="4"/>
      <c r="R350" s="1"/>
      <c r="S350" s="1"/>
      <c r="T350" s="1"/>
      <c r="U350" s="1"/>
      <c r="V350" s="1"/>
      <c r="W350" s="5"/>
      <c r="X350" s="5"/>
      <c r="Y350" s="1"/>
      <c r="Z350" s="1"/>
      <c r="AA350" s="1"/>
      <c r="AB350" s="4"/>
      <c r="AC350" s="5"/>
    </row>
    <row r="351" spans="16:29" ht="15" thickBot="1">
      <c r="P351" s="1"/>
      <c r="Q351" s="4"/>
      <c r="R351" s="1"/>
      <c r="S351" s="1"/>
      <c r="T351" s="1"/>
      <c r="U351" s="1"/>
      <c r="V351" s="1"/>
      <c r="W351" s="5"/>
      <c r="X351" s="5"/>
      <c r="Y351" s="1"/>
      <c r="Z351" s="1"/>
      <c r="AA351" s="1"/>
      <c r="AB351" s="4"/>
      <c r="AC351" s="5"/>
    </row>
    <row r="352" spans="16:29" ht="15" thickBot="1">
      <c r="P352" s="1"/>
      <c r="Q352" s="4"/>
      <c r="R352" s="1"/>
      <c r="S352" s="1"/>
      <c r="T352" s="1"/>
      <c r="U352" s="1"/>
      <c r="V352" s="1"/>
      <c r="W352" s="5"/>
      <c r="X352" s="5"/>
      <c r="Y352" s="1"/>
      <c r="Z352" s="1"/>
      <c r="AA352" s="1"/>
      <c r="AB352" s="4"/>
      <c r="AC352" s="5"/>
    </row>
    <row r="353" spans="16:29" ht="15" thickBot="1">
      <c r="P353" s="1"/>
      <c r="Q353" s="4"/>
      <c r="R353" s="1"/>
      <c r="S353" s="1"/>
      <c r="T353" s="1"/>
      <c r="U353" s="1"/>
      <c r="V353" s="1"/>
      <c r="W353" s="5"/>
      <c r="X353" s="5"/>
      <c r="Y353" s="1"/>
      <c r="Z353" s="1"/>
      <c r="AA353" s="1"/>
      <c r="AB353" s="4"/>
      <c r="AC353" s="5"/>
    </row>
    <row r="354" spans="16:29" ht="15" thickBot="1">
      <c r="P354" s="1"/>
      <c r="Q354" s="4"/>
      <c r="R354" s="1"/>
      <c r="S354" s="1"/>
      <c r="T354" s="1"/>
      <c r="U354" s="1"/>
      <c r="V354" s="1"/>
      <c r="W354" s="5"/>
      <c r="X354" s="5"/>
      <c r="Y354" s="1"/>
      <c r="Z354" s="1"/>
      <c r="AA354" s="1"/>
      <c r="AB354" s="4"/>
      <c r="AC354" s="5"/>
    </row>
    <row r="355" spans="16:29" ht="15" thickBot="1">
      <c r="P355" s="1"/>
      <c r="Q355" s="4"/>
      <c r="R355" s="1"/>
      <c r="S355" s="1"/>
      <c r="T355" s="1"/>
      <c r="U355" s="1"/>
      <c r="V355" s="1"/>
      <c r="W355" s="5"/>
      <c r="X355" s="5"/>
      <c r="Y355" s="1"/>
      <c r="Z355" s="1"/>
      <c r="AA355" s="1"/>
      <c r="AB355" s="4"/>
      <c r="AC355" s="5"/>
    </row>
    <row r="356" spans="16:29" ht="15" thickBot="1">
      <c r="P356" s="1"/>
      <c r="Q356" s="4"/>
      <c r="R356" s="1"/>
      <c r="S356" s="1"/>
      <c r="T356" s="1"/>
      <c r="U356" s="1"/>
      <c r="V356" s="1"/>
      <c r="W356" s="5"/>
      <c r="X356" s="5"/>
      <c r="Y356" s="1"/>
      <c r="Z356" s="1"/>
      <c r="AA356" s="1"/>
      <c r="AB356" s="4"/>
      <c r="AC356" s="5"/>
    </row>
    <row r="357" spans="16:29" ht="15" thickBot="1">
      <c r="P357" s="1"/>
      <c r="Q357" s="4"/>
      <c r="R357" s="1"/>
      <c r="S357" s="1"/>
      <c r="T357" s="1"/>
      <c r="U357" s="1"/>
      <c r="V357" s="1"/>
      <c r="W357" s="5"/>
      <c r="X357" s="5"/>
      <c r="Y357" s="1"/>
      <c r="Z357" s="1"/>
      <c r="AA357" s="1"/>
      <c r="AB357" s="4"/>
      <c r="AC357" s="5"/>
    </row>
    <row r="358" spans="16:29" ht="15" thickBot="1">
      <c r="P358" s="1"/>
      <c r="Q358" s="4"/>
      <c r="R358" s="1"/>
      <c r="S358" s="1"/>
      <c r="T358" s="1"/>
      <c r="U358" s="1"/>
      <c r="V358" s="1"/>
      <c r="W358" s="5"/>
      <c r="X358" s="5"/>
      <c r="Y358" s="1"/>
      <c r="Z358" s="1"/>
      <c r="AA358" s="1"/>
      <c r="AB358" s="4"/>
      <c r="AC358" s="5"/>
    </row>
    <row r="359" spans="16:29" ht="15" thickBot="1">
      <c r="P359" s="1"/>
      <c r="Q359" s="4"/>
      <c r="R359" s="1"/>
      <c r="S359" s="1"/>
      <c r="T359" s="1"/>
      <c r="U359" s="1"/>
      <c r="V359" s="1"/>
      <c r="W359" s="5"/>
      <c r="X359" s="5"/>
      <c r="Y359" s="1"/>
      <c r="Z359" s="1"/>
      <c r="AA359" s="1"/>
      <c r="AB359" s="4"/>
      <c r="AC359" s="5"/>
    </row>
    <row r="360" spans="16:29" ht="15" thickBot="1">
      <c r="P360" s="1"/>
      <c r="Q360" s="4"/>
      <c r="R360" s="1"/>
      <c r="S360" s="1"/>
      <c r="T360" s="1"/>
      <c r="U360" s="1"/>
      <c r="V360" s="1"/>
      <c r="W360" s="5"/>
      <c r="X360" s="5"/>
      <c r="Y360" s="1"/>
      <c r="Z360" s="1"/>
      <c r="AA360" s="1"/>
      <c r="AB360" s="4"/>
      <c r="AC360" s="5"/>
    </row>
    <row r="361" spans="16:29" ht="15" thickBot="1">
      <c r="P361" s="1"/>
      <c r="Q361" s="4"/>
      <c r="R361" s="1"/>
      <c r="S361" s="1"/>
      <c r="T361" s="1"/>
      <c r="U361" s="1"/>
      <c r="V361" s="1"/>
      <c r="W361" s="5"/>
      <c r="X361" s="5"/>
      <c r="Y361" s="1"/>
      <c r="Z361" s="1"/>
      <c r="AA361" s="1"/>
      <c r="AB361" s="4"/>
      <c r="AC361" s="5"/>
    </row>
    <row r="362" spans="16:29" ht="15" thickBot="1">
      <c r="P362" s="1"/>
      <c r="Q362" s="4"/>
      <c r="R362" s="1"/>
      <c r="S362" s="1"/>
      <c r="T362" s="1"/>
      <c r="U362" s="1"/>
      <c r="V362" s="1"/>
      <c r="W362" s="5"/>
      <c r="X362" s="5"/>
      <c r="Y362" s="1"/>
      <c r="Z362" s="1"/>
      <c r="AA362" s="1"/>
      <c r="AB362" s="4"/>
      <c r="AC362" s="5"/>
    </row>
    <row r="363" spans="16:29" ht="15" thickBot="1">
      <c r="P363" s="1"/>
      <c r="Q363" s="4"/>
      <c r="R363" s="1"/>
      <c r="S363" s="1"/>
      <c r="T363" s="1"/>
      <c r="U363" s="1"/>
      <c r="V363" s="1"/>
      <c r="W363" s="5"/>
      <c r="X363" s="5"/>
      <c r="Y363" s="1"/>
      <c r="Z363" s="1"/>
      <c r="AA363" s="1"/>
      <c r="AB363" s="4"/>
      <c r="AC363" s="5"/>
    </row>
    <row r="364" spans="16:29" ht="15" thickBot="1">
      <c r="P364" s="1"/>
      <c r="Q364" s="4"/>
      <c r="R364" s="1"/>
      <c r="S364" s="1"/>
      <c r="T364" s="1"/>
      <c r="U364" s="1"/>
      <c r="V364" s="1"/>
      <c r="W364" s="5"/>
      <c r="X364" s="5"/>
      <c r="Y364" s="1"/>
      <c r="Z364" s="1"/>
      <c r="AA364" s="1"/>
      <c r="AB364" s="4"/>
      <c r="AC364" s="5"/>
    </row>
    <row r="365" spans="16:29" ht="15" thickBot="1">
      <c r="P365" s="1"/>
      <c r="Q365" s="4"/>
      <c r="R365" s="1"/>
      <c r="S365" s="1"/>
      <c r="T365" s="1"/>
      <c r="U365" s="1"/>
      <c r="V365" s="1"/>
      <c r="W365" s="5"/>
      <c r="X365" s="5"/>
      <c r="Y365" s="1"/>
      <c r="Z365" s="1"/>
      <c r="AA365" s="1"/>
      <c r="AB365" s="4"/>
      <c r="AC365" s="5"/>
    </row>
    <row r="366" spans="16:29" ht="15" thickBot="1">
      <c r="P366" s="1"/>
      <c r="Q366" s="4"/>
      <c r="R366" s="1"/>
      <c r="S366" s="1"/>
      <c r="T366" s="1"/>
      <c r="U366" s="1"/>
      <c r="V366" s="1"/>
      <c r="W366" s="5"/>
      <c r="X366" s="5"/>
      <c r="Y366" s="1"/>
      <c r="Z366" s="1"/>
      <c r="AA366" s="1"/>
      <c r="AB366" s="4"/>
      <c r="AC366" s="5"/>
    </row>
    <row r="367" spans="16:29" ht="15" thickBot="1">
      <c r="P367" s="1"/>
      <c r="Q367" s="4"/>
      <c r="R367" s="1"/>
      <c r="S367" s="1"/>
      <c r="T367" s="1"/>
      <c r="U367" s="1"/>
      <c r="V367" s="1"/>
      <c r="W367" s="5"/>
      <c r="X367" s="5"/>
      <c r="Y367" s="1"/>
      <c r="Z367" s="1"/>
      <c r="AA367" s="1"/>
      <c r="AB367" s="4"/>
      <c r="AC367" s="5"/>
    </row>
    <row r="368" spans="16:29" ht="15" thickBot="1">
      <c r="P368" s="1"/>
      <c r="Q368" s="4"/>
      <c r="R368" s="1"/>
      <c r="S368" s="1"/>
      <c r="T368" s="1"/>
      <c r="U368" s="1"/>
      <c r="V368" s="1"/>
      <c r="W368" s="5"/>
      <c r="X368" s="5"/>
      <c r="Y368" s="1"/>
      <c r="Z368" s="1"/>
      <c r="AA368" s="1"/>
      <c r="AB368" s="4"/>
      <c r="AC368" s="5"/>
    </row>
    <row r="369" spans="16:29" ht="15" thickBot="1">
      <c r="P369" s="1"/>
      <c r="Q369" s="4"/>
      <c r="R369" s="1"/>
      <c r="S369" s="1"/>
      <c r="T369" s="1"/>
      <c r="U369" s="1"/>
      <c r="V369" s="1"/>
      <c r="W369" s="5"/>
      <c r="X369" s="5"/>
      <c r="Y369" s="1"/>
      <c r="Z369" s="1"/>
      <c r="AA369" s="1"/>
      <c r="AB369" s="4"/>
      <c r="AC369" s="5"/>
    </row>
    <row r="370" spans="16:29" ht="15" thickBot="1">
      <c r="P370" s="1"/>
      <c r="Q370" s="4"/>
      <c r="R370" s="1"/>
      <c r="S370" s="1"/>
      <c r="T370" s="1"/>
      <c r="U370" s="1"/>
      <c r="V370" s="1"/>
      <c r="W370" s="5"/>
      <c r="X370" s="5"/>
      <c r="Y370" s="1"/>
      <c r="Z370" s="1"/>
      <c r="AA370" s="1"/>
      <c r="AB370" s="4"/>
      <c r="AC370" s="5"/>
    </row>
    <row r="371" spans="16:29" ht="15" thickBot="1">
      <c r="P371" s="1"/>
      <c r="Q371" s="4"/>
      <c r="R371" s="1"/>
      <c r="S371" s="1"/>
      <c r="T371" s="1"/>
      <c r="U371" s="1"/>
      <c r="V371" s="1"/>
      <c r="W371" s="5"/>
      <c r="X371" s="5"/>
      <c r="Y371" s="1"/>
      <c r="Z371" s="1"/>
      <c r="AA371" s="1"/>
      <c r="AB371" s="4"/>
      <c r="AC371" s="5"/>
    </row>
    <row r="372" spans="16:29" ht="15" thickBot="1">
      <c r="P372" s="1"/>
      <c r="Q372" s="4"/>
      <c r="R372" s="1"/>
      <c r="S372" s="1"/>
      <c r="T372" s="1"/>
      <c r="U372" s="1"/>
      <c r="V372" s="1"/>
      <c r="W372" s="5"/>
      <c r="X372" s="5"/>
      <c r="Y372" s="1"/>
      <c r="Z372" s="1"/>
      <c r="AA372" s="1"/>
      <c r="AB372" s="4"/>
      <c r="AC372" s="5"/>
    </row>
    <row r="373" spans="16:29" ht="15" thickBot="1">
      <c r="P373" s="1"/>
      <c r="Q373" s="4"/>
      <c r="R373" s="1"/>
      <c r="S373" s="1"/>
      <c r="T373" s="1"/>
      <c r="U373" s="1"/>
      <c r="V373" s="1"/>
      <c r="W373" s="5"/>
      <c r="X373" s="5"/>
      <c r="Y373" s="1"/>
      <c r="Z373" s="1"/>
      <c r="AA373" s="1"/>
      <c r="AB373" s="4"/>
      <c r="AC373" s="5"/>
    </row>
    <row r="374" spans="16:29" ht="15" thickBot="1">
      <c r="P374" s="1"/>
      <c r="Q374" s="4"/>
      <c r="R374" s="1"/>
      <c r="S374" s="1"/>
      <c r="T374" s="1"/>
      <c r="U374" s="1"/>
      <c r="V374" s="1"/>
      <c r="W374" s="5"/>
      <c r="X374" s="5"/>
      <c r="Y374" s="1"/>
      <c r="Z374" s="1"/>
      <c r="AA374" s="1"/>
      <c r="AB374" s="4"/>
      <c r="AC374" s="5"/>
    </row>
    <row r="375" spans="16:29" ht="15" thickBot="1">
      <c r="P375" s="1"/>
      <c r="Q375" s="4"/>
      <c r="R375" s="1"/>
      <c r="S375" s="1"/>
      <c r="T375" s="1"/>
      <c r="U375" s="1"/>
      <c r="V375" s="1"/>
      <c r="W375" s="5"/>
      <c r="X375" s="5"/>
      <c r="Y375" s="1"/>
      <c r="Z375" s="1"/>
      <c r="AA375" s="1"/>
      <c r="AB375" s="4"/>
      <c r="AC375" s="5"/>
    </row>
    <row r="376" spans="16:29" ht="15" thickBot="1">
      <c r="P376" s="1"/>
      <c r="Q376" s="4"/>
      <c r="R376" s="1"/>
      <c r="S376" s="1"/>
      <c r="T376" s="1"/>
      <c r="U376" s="1"/>
      <c r="V376" s="1"/>
      <c r="W376" s="5"/>
      <c r="X376" s="5"/>
      <c r="Y376" s="1"/>
      <c r="Z376" s="1"/>
      <c r="AA376" s="1"/>
      <c r="AB376" s="4"/>
      <c r="AC376" s="5"/>
    </row>
    <row r="377" spans="16:29" ht="15" thickBot="1">
      <c r="P377" s="1"/>
      <c r="Q377" s="4"/>
      <c r="R377" s="1"/>
      <c r="S377" s="1"/>
      <c r="T377" s="1"/>
      <c r="U377" s="1"/>
      <c r="V377" s="1"/>
      <c r="W377" s="5"/>
      <c r="X377" s="5"/>
      <c r="Y377" s="1"/>
      <c r="Z377" s="1"/>
      <c r="AA377" s="1"/>
      <c r="AB377" s="4"/>
      <c r="AC377" s="5"/>
    </row>
    <row r="378" spans="16:29" ht="15" thickBot="1">
      <c r="P378" s="1"/>
      <c r="Q378" s="4"/>
      <c r="R378" s="1"/>
      <c r="S378" s="1"/>
      <c r="T378" s="1"/>
      <c r="U378" s="1"/>
      <c r="V378" s="1"/>
      <c r="W378" s="5"/>
      <c r="X378" s="5"/>
      <c r="Y378" s="1"/>
      <c r="Z378" s="1"/>
      <c r="AA378" s="1"/>
      <c r="AB378" s="4"/>
      <c r="AC378" s="5"/>
    </row>
    <row r="379" spans="16:29" ht="15" thickBot="1">
      <c r="P379" s="1"/>
      <c r="Q379" s="4"/>
      <c r="R379" s="1"/>
      <c r="S379" s="1"/>
      <c r="T379" s="1"/>
      <c r="U379" s="1"/>
      <c r="V379" s="1"/>
      <c r="W379" s="5"/>
      <c r="X379" s="5"/>
      <c r="Y379" s="1"/>
      <c r="Z379" s="1"/>
      <c r="AA379" s="1"/>
      <c r="AB379" s="4"/>
      <c r="AC379" s="5"/>
    </row>
    <row r="380" spans="16:29" ht="15" thickBot="1">
      <c r="P380" s="1"/>
      <c r="Q380" s="4"/>
      <c r="R380" s="1"/>
      <c r="S380" s="1"/>
      <c r="T380" s="1"/>
      <c r="U380" s="1"/>
      <c r="V380" s="1"/>
      <c r="W380" s="5"/>
      <c r="X380" s="5"/>
      <c r="Y380" s="1"/>
      <c r="Z380" s="1"/>
      <c r="AA380" s="1"/>
      <c r="AB380" s="4"/>
      <c r="AC380" s="5"/>
    </row>
    <row r="381" spans="16:29" ht="15" thickBot="1">
      <c r="P381" s="1"/>
      <c r="Q381" s="4"/>
      <c r="R381" s="1"/>
      <c r="S381" s="1"/>
      <c r="T381" s="1"/>
      <c r="U381" s="1"/>
      <c r="V381" s="1"/>
      <c r="W381" s="5"/>
      <c r="X381" s="5"/>
      <c r="Y381" s="1"/>
      <c r="Z381" s="1"/>
      <c r="AA381" s="1"/>
      <c r="AB381" s="4"/>
      <c r="AC381" s="5"/>
    </row>
    <row r="382" spans="16:29" ht="15" thickBot="1">
      <c r="P382" s="1"/>
      <c r="Q382" s="4"/>
      <c r="R382" s="1"/>
      <c r="S382" s="1"/>
      <c r="T382" s="1"/>
      <c r="U382" s="1"/>
      <c r="V382" s="1"/>
      <c r="W382" s="5"/>
      <c r="X382" s="5"/>
      <c r="Y382" s="1"/>
      <c r="Z382" s="1"/>
      <c r="AA382" s="1"/>
      <c r="AB382" s="4"/>
      <c r="AC382" s="5"/>
    </row>
    <row r="383" spans="16:29" ht="15" thickBot="1">
      <c r="P383" s="1"/>
      <c r="Q383" s="4"/>
      <c r="R383" s="1"/>
      <c r="S383" s="1"/>
      <c r="T383" s="1"/>
      <c r="U383" s="1"/>
      <c r="V383" s="1"/>
      <c r="W383" s="5"/>
      <c r="X383" s="5"/>
      <c r="Y383" s="1"/>
      <c r="Z383" s="1"/>
      <c r="AA383" s="1"/>
      <c r="AB383" s="4"/>
      <c r="AC383" s="5"/>
    </row>
    <row r="384" spans="16:29" ht="15" thickBot="1">
      <c r="P384" s="1"/>
      <c r="Q384" s="4"/>
      <c r="R384" s="1"/>
      <c r="S384" s="1"/>
      <c r="T384" s="1"/>
      <c r="U384" s="1"/>
      <c r="V384" s="1"/>
      <c r="W384" s="5"/>
      <c r="X384" s="5"/>
      <c r="Y384" s="1"/>
      <c r="Z384" s="1"/>
      <c r="AA384" s="1"/>
      <c r="AB384" s="4"/>
      <c r="AC384" s="5"/>
    </row>
    <row r="385" spans="16:29" ht="15" thickBot="1">
      <c r="P385" s="1"/>
      <c r="Q385" s="4"/>
      <c r="R385" s="1"/>
      <c r="S385" s="1"/>
      <c r="T385" s="1"/>
      <c r="U385" s="1"/>
      <c r="V385" s="1"/>
      <c r="W385" s="5"/>
      <c r="X385" s="5"/>
      <c r="Y385" s="1"/>
      <c r="Z385" s="1"/>
      <c r="AA385" s="1"/>
      <c r="AB385" s="4"/>
      <c r="AC385" s="5"/>
    </row>
    <row r="386" spans="16:29" ht="15" thickBot="1">
      <c r="P386" s="1"/>
      <c r="Q386" s="4"/>
      <c r="R386" s="1"/>
      <c r="S386" s="1"/>
      <c r="T386" s="1"/>
      <c r="U386" s="1"/>
      <c r="V386" s="1"/>
      <c r="W386" s="5"/>
      <c r="X386" s="5"/>
      <c r="Y386" s="1"/>
      <c r="Z386" s="1"/>
      <c r="AA386" s="1"/>
      <c r="AB386" s="4"/>
      <c r="AC386" s="5"/>
    </row>
    <row r="387" spans="16:29" ht="15" thickBot="1">
      <c r="P387" s="1"/>
      <c r="Q387" s="4"/>
      <c r="R387" s="1"/>
      <c r="S387" s="1"/>
      <c r="T387" s="1"/>
      <c r="U387" s="1"/>
      <c r="V387" s="1"/>
      <c r="W387" s="5"/>
      <c r="X387" s="5"/>
      <c r="Y387" s="1"/>
      <c r="Z387" s="1"/>
      <c r="AA387" s="1"/>
      <c r="AB387" s="4"/>
      <c r="AC387" s="5"/>
    </row>
    <row r="388" spans="16:29" ht="15" thickBot="1">
      <c r="P388" s="1"/>
      <c r="Q388" s="4"/>
      <c r="R388" s="1"/>
      <c r="S388" s="1"/>
      <c r="T388" s="1"/>
      <c r="U388" s="1"/>
      <c r="V388" s="1"/>
      <c r="W388" s="5"/>
      <c r="X388" s="5"/>
      <c r="Y388" s="1"/>
      <c r="Z388" s="1"/>
      <c r="AA388" s="1"/>
      <c r="AB388" s="4"/>
      <c r="AC388" s="5"/>
    </row>
    <row r="389" spans="16:29" ht="15" thickBot="1">
      <c r="P389" s="1"/>
      <c r="Q389" s="4"/>
      <c r="R389" s="1"/>
      <c r="S389" s="1"/>
      <c r="T389" s="1"/>
      <c r="U389" s="1"/>
      <c r="V389" s="1"/>
      <c r="W389" s="5"/>
      <c r="X389" s="5"/>
      <c r="Y389" s="1"/>
      <c r="Z389" s="1"/>
      <c r="AA389" s="1"/>
      <c r="AB389" s="4"/>
      <c r="AC389" s="5"/>
    </row>
    <row r="390" spans="16:29" ht="15" thickBot="1">
      <c r="P390" s="1"/>
      <c r="Q390" s="4"/>
      <c r="R390" s="1"/>
      <c r="S390" s="1"/>
      <c r="T390" s="1"/>
      <c r="U390" s="1"/>
      <c r="V390" s="1"/>
      <c r="W390" s="5"/>
      <c r="X390" s="5"/>
      <c r="Y390" s="1"/>
      <c r="Z390" s="1"/>
      <c r="AA390" s="1"/>
      <c r="AB390" s="4"/>
      <c r="AC390" s="5"/>
    </row>
    <row r="391" spans="16:29" ht="15" thickBot="1">
      <c r="P391" s="1"/>
      <c r="Q391" s="4"/>
      <c r="R391" s="1"/>
      <c r="S391" s="1"/>
      <c r="T391" s="1"/>
      <c r="U391" s="1"/>
      <c r="V391" s="1"/>
      <c r="W391" s="5"/>
      <c r="X391" s="5"/>
      <c r="Y391" s="1"/>
      <c r="Z391" s="1"/>
      <c r="AA391" s="1"/>
      <c r="AB391" s="4"/>
      <c r="AC391" s="5"/>
    </row>
    <row r="392" spans="16:29" ht="15" thickBot="1">
      <c r="P392" s="1"/>
      <c r="Q392" s="4"/>
      <c r="R392" s="1"/>
      <c r="S392" s="1"/>
      <c r="T392" s="1"/>
      <c r="U392" s="1"/>
      <c r="V392" s="1"/>
      <c r="W392" s="5"/>
      <c r="X392" s="5"/>
      <c r="Y392" s="1"/>
      <c r="Z392" s="1"/>
      <c r="AA392" s="1"/>
      <c r="AB392" s="4"/>
      <c r="AC392" s="5"/>
    </row>
    <row r="393" spans="16:29" ht="15" thickBot="1">
      <c r="P393" s="1"/>
      <c r="Q393" s="4"/>
      <c r="R393" s="1"/>
      <c r="S393" s="1"/>
      <c r="T393" s="1"/>
      <c r="U393" s="1"/>
      <c r="V393" s="1"/>
      <c r="W393" s="5"/>
      <c r="X393" s="5"/>
      <c r="Y393" s="1"/>
      <c r="Z393" s="1"/>
      <c r="AA393" s="1"/>
      <c r="AB393" s="4"/>
      <c r="AC393" s="5"/>
    </row>
    <row r="394" spans="16:29" ht="15" thickBot="1">
      <c r="P394" s="1"/>
      <c r="Q394" s="4"/>
      <c r="R394" s="1"/>
      <c r="S394" s="1"/>
      <c r="T394" s="1"/>
      <c r="U394" s="1"/>
      <c r="V394" s="1"/>
      <c r="W394" s="5"/>
      <c r="X394" s="5"/>
      <c r="Y394" s="1"/>
      <c r="Z394" s="1"/>
      <c r="AA394" s="1"/>
      <c r="AB394" s="4"/>
      <c r="AC394" s="5"/>
    </row>
    <row r="395" spans="16:29" ht="15" thickBot="1">
      <c r="P395" s="1"/>
      <c r="Q395" s="4"/>
      <c r="R395" s="1"/>
      <c r="S395" s="1"/>
      <c r="T395" s="1"/>
      <c r="U395" s="1"/>
      <c r="V395" s="1"/>
      <c r="W395" s="5"/>
      <c r="X395" s="5"/>
      <c r="Y395" s="1"/>
      <c r="Z395" s="1"/>
      <c r="AA395" s="1"/>
      <c r="AB395" s="4"/>
      <c r="AC395" s="5"/>
    </row>
    <row r="396" spans="16:29" ht="15" thickBot="1">
      <c r="P396" s="1"/>
      <c r="Q396" s="4"/>
      <c r="R396" s="1"/>
      <c r="S396" s="1"/>
      <c r="T396" s="1"/>
      <c r="U396" s="1"/>
      <c r="V396" s="1"/>
      <c r="W396" s="5"/>
      <c r="X396" s="5"/>
      <c r="Y396" s="1"/>
      <c r="Z396" s="1"/>
      <c r="AA396" s="1"/>
      <c r="AB396" s="4"/>
      <c r="AC396" s="5"/>
    </row>
    <row r="397" spans="16:29" ht="15" thickBot="1">
      <c r="P397" s="1"/>
      <c r="Q397" s="4"/>
      <c r="R397" s="1"/>
      <c r="S397" s="1"/>
      <c r="T397" s="1"/>
      <c r="U397" s="1"/>
      <c r="V397" s="1"/>
      <c r="W397" s="5"/>
      <c r="X397" s="5"/>
      <c r="Y397" s="1"/>
      <c r="Z397" s="1"/>
      <c r="AA397" s="1"/>
      <c r="AB397" s="4"/>
      <c r="AC397" s="5"/>
    </row>
    <row r="398" spans="16:29" ht="15" thickBot="1">
      <c r="P398" s="1"/>
      <c r="Q398" s="4"/>
      <c r="R398" s="1"/>
      <c r="S398" s="1"/>
      <c r="T398" s="1"/>
      <c r="U398" s="1"/>
      <c r="V398" s="1"/>
      <c r="W398" s="5"/>
      <c r="X398" s="5"/>
      <c r="Y398" s="1"/>
      <c r="Z398" s="1"/>
      <c r="AA398" s="1"/>
      <c r="AB398" s="4"/>
      <c r="AC398" s="5"/>
    </row>
    <row r="399" spans="16:29" ht="15" thickBot="1">
      <c r="P399" s="1"/>
      <c r="Q399" s="4"/>
      <c r="R399" s="1"/>
      <c r="S399" s="1"/>
      <c r="T399" s="1"/>
      <c r="U399" s="1"/>
      <c r="V399" s="1"/>
      <c r="W399" s="5"/>
      <c r="X399" s="5"/>
      <c r="Y399" s="1"/>
      <c r="Z399" s="1"/>
      <c r="AA399" s="1"/>
      <c r="AB399" s="4"/>
      <c r="AC399" s="5"/>
    </row>
    <row r="400" spans="16:29" ht="15" thickBot="1">
      <c r="P400" s="1"/>
      <c r="Q400" s="4"/>
      <c r="R400" s="1"/>
      <c r="S400" s="1"/>
      <c r="T400" s="1"/>
      <c r="U400" s="1"/>
      <c r="V400" s="1"/>
      <c r="W400" s="5"/>
      <c r="X400" s="5"/>
      <c r="Y400" s="1"/>
      <c r="Z400" s="1"/>
      <c r="AA400" s="1"/>
      <c r="AB400" s="4"/>
      <c r="AC400" s="5"/>
    </row>
    <row r="401" spans="16:29" ht="15" thickBot="1">
      <c r="P401" s="1"/>
      <c r="Q401" s="4"/>
      <c r="R401" s="1"/>
      <c r="S401" s="1"/>
      <c r="T401" s="1"/>
      <c r="U401" s="1"/>
      <c r="V401" s="1"/>
      <c r="W401" s="5"/>
      <c r="X401" s="5"/>
      <c r="Y401" s="1"/>
      <c r="Z401" s="1"/>
      <c r="AA401" s="1"/>
      <c r="AB401" s="4"/>
      <c r="AC401" s="5"/>
    </row>
    <row r="402" spans="16:29" ht="15" thickBot="1">
      <c r="P402" s="1"/>
      <c r="Q402" s="4"/>
      <c r="R402" s="1"/>
      <c r="S402" s="1"/>
      <c r="T402" s="1"/>
      <c r="U402" s="1"/>
      <c r="V402" s="1"/>
      <c r="W402" s="5"/>
      <c r="X402" s="5"/>
      <c r="Y402" s="1"/>
      <c r="Z402" s="1"/>
      <c r="AA402" s="1"/>
      <c r="AB402" s="4"/>
      <c r="AC402" s="5"/>
    </row>
    <row r="403" spans="16:29" ht="15" thickBot="1">
      <c r="P403" s="1"/>
      <c r="Q403" s="4"/>
      <c r="R403" s="1"/>
      <c r="S403" s="1"/>
      <c r="T403" s="1"/>
      <c r="U403" s="1"/>
      <c r="V403" s="1"/>
      <c r="W403" s="5"/>
      <c r="X403" s="5"/>
      <c r="Y403" s="1"/>
      <c r="Z403" s="1"/>
      <c r="AA403" s="1"/>
      <c r="AB403" s="4"/>
      <c r="AC403" s="5"/>
    </row>
    <row r="404" spans="16:29" ht="15" thickBot="1">
      <c r="P404" s="1"/>
      <c r="Q404" s="4"/>
      <c r="R404" s="1"/>
      <c r="S404" s="1"/>
      <c r="T404" s="1"/>
      <c r="U404" s="1"/>
      <c r="V404" s="1"/>
      <c r="W404" s="5"/>
      <c r="X404" s="5"/>
      <c r="Y404" s="1"/>
      <c r="Z404" s="1"/>
      <c r="AA404" s="1"/>
      <c r="AB404" s="4"/>
      <c r="AC404" s="5"/>
    </row>
    <row r="405" spans="16:29" ht="15" thickBot="1">
      <c r="P405" s="1"/>
      <c r="Q405" s="4"/>
      <c r="R405" s="1"/>
      <c r="S405" s="1"/>
      <c r="T405" s="1"/>
      <c r="U405" s="1"/>
      <c r="V405" s="1"/>
      <c r="W405" s="5"/>
      <c r="X405" s="5"/>
      <c r="Y405" s="1"/>
      <c r="Z405" s="1"/>
      <c r="AA405" s="1"/>
      <c r="AB405" s="4"/>
      <c r="AC405" s="5"/>
    </row>
    <row r="406" spans="16:29" ht="15" thickBot="1">
      <c r="P406" s="1"/>
      <c r="Q406" s="4"/>
      <c r="R406" s="1"/>
      <c r="S406" s="1"/>
      <c r="T406" s="1"/>
      <c r="U406" s="1"/>
      <c r="V406" s="1"/>
      <c r="W406" s="5"/>
      <c r="X406" s="5"/>
      <c r="Y406" s="1"/>
      <c r="Z406" s="1"/>
      <c r="AA406" s="1"/>
      <c r="AB406" s="4"/>
      <c r="AC406" s="5"/>
    </row>
    <row r="407" spans="16:29" ht="15" thickBot="1">
      <c r="P407" s="1"/>
      <c r="Q407" s="4"/>
      <c r="R407" s="1"/>
      <c r="S407" s="1"/>
      <c r="T407" s="1"/>
      <c r="U407" s="1"/>
      <c r="V407" s="1"/>
      <c r="W407" s="5"/>
      <c r="X407" s="5"/>
      <c r="Y407" s="1"/>
      <c r="Z407" s="1"/>
      <c r="AA407" s="1"/>
      <c r="AB407" s="4"/>
      <c r="AC407" s="5"/>
    </row>
    <row r="408" spans="16:29" ht="15" thickBot="1">
      <c r="P408" s="1"/>
      <c r="Q408" s="4"/>
      <c r="R408" s="1"/>
      <c r="S408" s="1"/>
      <c r="T408" s="1"/>
      <c r="U408" s="1"/>
      <c r="V408" s="1"/>
      <c r="W408" s="5"/>
      <c r="X408" s="5"/>
      <c r="Y408" s="1"/>
      <c r="Z408" s="1"/>
      <c r="AA408" s="1"/>
      <c r="AB408" s="4"/>
      <c r="AC408" s="5"/>
    </row>
    <row r="409" spans="16:29" ht="15" thickBot="1">
      <c r="P409" s="1"/>
      <c r="Q409" s="4"/>
      <c r="R409" s="1"/>
      <c r="S409" s="1"/>
      <c r="T409" s="1"/>
      <c r="U409" s="1"/>
      <c r="V409" s="1"/>
      <c r="W409" s="5"/>
      <c r="X409" s="5"/>
      <c r="Y409" s="1"/>
      <c r="Z409" s="1"/>
      <c r="AA409" s="1"/>
      <c r="AB409" s="4"/>
      <c r="AC409" s="5"/>
    </row>
    <row r="410" spans="16:29" ht="15" thickBot="1">
      <c r="P410" s="1"/>
      <c r="Q410" s="4"/>
      <c r="R410" s="1"/>
      <c r="S410" s="1"/>
      <c r="T410" s="1"/>
      <c r="U410" s="1"/>
      <c r="V410" s="1"/>
      <c r="W410" s="5"/>
      <c r="X410" s="5"/>
      <c r="Y410" s="1"/>
      <c r="Z410" s="1"/>
      <c r="AA410" s="1"/>
      <c r="AB410" s="4"/>
      <c r="AC410" s="5"/>
    </row>
    <row r="411" spans="16:29" ht="15" thickBot="1">
      <c r="P411" s="1"/>
      <c r="Q411" s="4"/>
      <c r="R411" s="1"/>
      <c r="S411" s="1"/>
      <c r="T411" s="1"/>
      <c r="U411" s="1"/>
      <c r="V411" s="1"/>
      <c r="W411" s="5"/>
      <c r="X411" s="5"/>
      <c r="Y411" s="1"/>
      <c r="Z411" s="1"/>
      <c r="AA411" s="1"/>
      <c r="AB411" s="4"/>
      <c r="AC411" s="5"/>
    </row>
    <row r="412" spans="16:29" ht="15" thickBot="1">
      <c r="P412" s="1"/>
      <c r="Q412" s="4"/>
      <c r="R412" s="1"/>
      <c r="S412" s="1"/>
      <c r="T412" s="1"/>
      <c r="U412" s="1"/>
      <c r="V412" s="1"/>
      <c r="W412" s="5"/>
      <c r="X412" s="5"/>
      <c r="Y412" s="1"/>
      <c r="Z412" s="1"/>
      <c r="AA412" s="1"/>
      <c r="AB412" s="4"/>
      <c r="AC412" s="5"/>
    </row>
    <row r="413" spans="16:29" ht="15" thickBot="1">
      <c r="P413" s="1"/>
      <c r="Q413" s="4"/>
      <c r="R413" s="1"/>
      <c r="S413" s="1"/>
      <c r="T413" s="1"/>
      <c r="U413" s="1"/>
      <c r="V413" s="1"/>
      <c r="W413" s="5"/>
      <c r="X413" s="5"/>
      <c r="Y413" s="1"/>
      <c r="Z413" s="1"/>
      <c r="AA413" s="1"/>
      <c r="AB413" s="4"/>
      <c r="AC413" s="5"/>
    </row>
    <row r="414" spans="16:29" ht="15" thickBot="1">
      <c r="P414" s="1"/>
      <c r="Q414" s="4"/>
      <c r="R414" s="1"/>
      <c r="S414" s="1"/>
      <c r="T414" s="1"/>
      <c r="U414" s="1"/>
      <c r="V414" s="1"/>
      <c r="W414" s="5"/>
      <c r="X414" s="5"/>
      <c r="Y414" s="1"/>
      <c r="Z414" s="1"/>
      <c r="AA414" s="1"/>
      <c r="AB414" s="4"/>
      <c r="AC414" s="5"/>
    </row>
    <row r="415" spans="16:29" ht="15" thickBot="1">
      <c r="P415" s="1"/>
      <c r="Q415" s="4"/>
      <c r="R415" s="1"/>
      <c r="S415" s="1"/>
      <c r="T415" s="1"/>
      <c r="U415" s="1"/>
      <c r="V415" s="1"/>
      <c r="W415" s="5"/>
      <c r="X415" s="5"/>
      <c r="Y415" s="1"/>
      <c r="Z415" s="1"/>
      <c r="AA415" s="1"/>
      <c r="AB415" s="4"/>
      <c r="AC415" s="5"/>
    </row>
    <row r="416" spans="16:29" ht="15" thickBot="1">
      <c r="P416" s="1"/>
      <c r="Q416" s="4"/>
      <c r="R416" s="1"/>
      <c r="S416" s="1"/>
      <c r="T416" s="1"/>
      <c r="U416" s="1"/>
      <c r="V416" s="1"/>
      <c r="W416" s="5"/>
      <c r="X416" s="5"/>
      <c r="Y416" s="1"/>
      <c r="Z416" s="1"/>
      <c r="AA416" s="1"/>
      <c r="AB416" s="4"/>
      <c r="AC416" s="5"/>
    </row>
    <row r="417" spans="16:29" ht="15" thickBot="1">
      <c r="P417" s="1"/>
      <c r="Q417" s="4"/>
      <c r="R417" s="1"/>
      <c r="S417" s="1"/>
      <c r="T417" s="1"/>
      <c r="U417" s="1"/>
      <c r="V417" s="1"/>
      <c r="W417" s="5"/>
      <c r="X417" s="5"/>
      <c r="Y417" s="1"/>
      <c r="Z417" s="1"/>
      <c r="AA417" s="1"/>
      <c r="AB417" s="4"/>
      <c r="AC417" s="5"/>
    </row>
    <row r="418" spans="16:29" ht="15" thickBot="1">
      <c r="P418" s="1"/>
      <c r="Q418" s="4"/>
      <c r="R418" s="1"/>
      <c r="S418" s="1"/>
      <c r="T418" s="1"/>
      <c r="U418" s="1"/>
      <c r="V418" s="1"/>
      <c r="W418" s="5"/>
      <c r="X418" s="5"/>
      <c r="Y418" s="1"/>
      <c r="Z418" s="1"/>
      <c r="AA418" s="1"/>
      <c r="AB418" s="4"/>
      <c r="AC418" s="5"/>
    </row>
    <row r="419" spans="16:29" ht="15" thickBot="1">
      <c r="P419" s="1"/>
      <c r="Q419" s="4"/>
      <c r="R419" s="1"/>
      <c r="S419" s="1"/>
      <c r="T419" s="1"/>
      <c r="U419" s="1"/>
      <c r="V419" s="1"/>
      <c r="W419" s="5"/>
      <c r="X419" s="5"/>
      <c r="Y419" s="1"/>
      <c r="Z419" s="1"/>
      <c r="AA419" s="1"/>
      <c r="AB419" s="4"/>
      <c r="AC419" s="5"/>
    </row>
    <row r="420" spans="16:29" ht="15" thickBot="1">
      <c r="P420" s="1"/>
      <c r="Q420" s="4"/>
      <c r="R420" s="1"/>
      <c r="S420" s="1"/>
      <c r="T420" s="1"/>
      <c r="U420" s="1"/>
      <c r="V420" s="1"/>
      <c r="W420" s="5"/>
      <c r="X420" s="5"/>
      <c r="Y420" s="1"/>
      <c r="Z420" s="1"/>
      <c r="AA420" s="1"/>
      <c r="AB420" s="4"/>
      <c r="AC420" s="5"/>
    </row>
    <row r="421" spans="16:29" ht="15" thickBot="1">
      <c r="P421" s="1"/>
      <c r="Q421" s="4"/>
      <c r="R421" s="1"/>
      <c r="S421" s="1"/>
      <c r="T421" s="1"/>
      <c r="U421" s="1"/>
      <c r="V421" s="1"/>
      <c r="W421" s="5"/>
      <c r="X421" s="5"/>
      <c r="Y421" s="1"/>
      <c r="Z421" s="1"/>
      <c r="AA421" s="1"/>
      <c r="AB421" s="4"/>
      <c r="AC421" s="5"/>
    </row>
    <row r="422" spans="16:29" ht="15" thickBot="1">
      <c r="P422" s="1"/>
      <c r="Q422" s="4"/>
      <c r="R422" s="1"/>
      <c r="S422" s="1"/>
      <c r="T422" s="1"/>
      <c r="U422" s="1"/>
      <c r="V422" s="1"/>
      <c r="W422" s="5"/>
      <c r="X422" s="5"/>
      <c r="Y422" s="1"/>
      <c r="Z422" s="1"/>
      <c r="AA422" s="1"/>
      <c r="AB422" s="4"/>
      <c r="AC422" s="5"/>
    </row>
    <row r="423" spans="16:29" ht="15" thickBot="1">
      <c r="P423" s="1"/>
      <c r="Q423" s="4"/>
      <c r="R423" s="1"/>
      <c r="S423" s="1"/>
      <c r="T423" s="1"/>
      <c r="U423" s="1"/>
      <c r="V423" s="1"/>
      <c r="W423" s="5"/>
      <c r="X423" s="5"/>
      <c r="Y423" s="1"/>
      <c r="Z423" s="1"/>
      <c r="AA423" s="1"/>
      <c r="AB423" s="4"/>
      <c r="AC423" s="5"/>
    </row>
    <row r="424" spans="16:29" ht="15" thickBot="1">
      <c r="P424" s="1"/>
      <c r="Q424" s="4"/>
      <c r="R424" s="1"/>
      <c r="S424" s="1"/>
      <c r="T424" s="1"/>
      <c r="U424" s="1"/>
      <c r="V424" s="1"/>
      <c r="W424" s="5"/>
      <c r="X424" s="5"/>
      <c r="Y424" s="1"/>
      <c r="Z424" s="1"/>
      <c r="AA424" s="1"/>
      <c r="AB424" s="4"/>
      <c r="AC424" s="5"/>
    </row>
    <row r="425" spans="16:29" ht="15" thickBot="1">
      <c r="P425" s="1"/>
      <c r="Q425" s="4"/>
      <c r="R425" s="1"/>
      <c r="S425" s="1"/>
      <c r="T425" s="1"/>
      <c r="U425" s="1"/>
      <c r="V425" s="1"/>
      <c r="W425" s="5"/>
      <c r="X425" s="5"/>
      <c r="Y425" s="1"/>
      <c r="Z425" s="1"/>
      <c r="AA425" s="1"/>
      <c r="AB425" s="4"/>
      <c r="AC425" s="5"/>
    </row>
    <row r="426" spans="16:29" ht="15" thickBot="1">
      <c r="P426" s="1"/>
      <c r="Q426" s="4"/>
      <c r="R426" s="1"/>
      <c r="S426" s="1"/>
      <c r="T426" s="1"/>
      <c r="U426" s="1"/>
      <c r="V426" s="1"/>
      <c r="W426" s="5"/>
      <c r="X426" s="5"/>
      <c r="Y426" s="1"/>
      <c r="Z426" s="1"/>
      <c r="AA426" s="1"/>
      <c r="AB426" s="4"/>
      <c r="AC426" s="5"/>
    </row>
    <row r="427" spans="16:29" ht="15" thickBot="1">
      <c r="P427" s="1"/>
      <c r="Q427" s="4"/>
      <c r="R427" s="1"/>
      <c r="S427" s="1"/>
      <c r="T427" s="1"/>
      <c r="U427" s="1"/>
      <c r="V427" s="1"/>
      <c r="W427" s="5"/>
      <c r="X427" s="5"/>
      <c r="Y427" s="1"/>
      <c r="Z427" s="1"/>
      <c r="AA427" s="1"/>
      <c r="AB427" s="4"/>
      <c r="AC427" s="5"/>
    </row>
    <row r="428" spans="16:29" ht="15" thickBot="1">
      <c r="P428" s="1"/>
      <c r="Q428" s="4"/>
      <c r="R428" s="1"/>
      <c r="S428" s="1"/>
      <c r="T428" s="1"/>
      <c r="U428" s="1"/>
      <c r="V428" s="1"/>
      <c r="W428" s="5"/>
      <c r="X428" s="5"/>
      <c r="Y428" s="1"/>
      <c r="Z428" s="1"/>
      <c r="AA428" s="1"/>
      <c r="AB428" s="4"/>
      <c r="AC428" s="5"/>
    </row>
    <row r="429" spans="16:29" ht="15" thickBot="1">
      <c r="P429" s="1"/>
      <c r="Q429" s="4"/>
      <c r="R429" s="1"/>
      <c r="S429" s="1"/>
      <c r="T429" s="1"/>
      <c r="U429" s="1"/>
      <c r="V429" s="1"/>
      <c r="W429" s="5"/>
      <c r="X429" s="5"/>
      <c r="Y429" s="1"/>
      <c r="Z429" s="1"/>
      <c r="AA429" s="1"/>
      <c r="AB429" s="4"/>
      <c r="AC429" s="5"/>
    </row>
    <row r="430" spans="16:29" ht="15" thickBot="1">
      <c r="P430" s="1"/>
      <c r="Q430" s="4"/>
      <c r="R430" s="1"/>
      <c r="S430" s="1"/>
      <c r="T430" s="1"/>
      <c r="U430" s="1"/>
      <c r="V430" s="1"/>
      <c r="W430" s="5"/>
      <c r="X430" s="5"/>
      <c r="Y430" s="1"/>
      <c r="Z430" s="1"/>
      <c r="AA430" s="1"/>
      <c r="AB430" s="4"/>
      <c r="AC430" s="5"/>
    </row>
    <row r="431" spans="16:29" ht="15" thickBot="1">
      <c r="P431" s="1"/>
      <c r="Q431" s="4"/>
      <c r="R431" s="1"/>
      <c r="S431" s="1"/>
      <c r="T431" s="1"/>
      <c r="U431" s="1"/>
      <c r="V431" s="1"/>
      <c r="W431" s="5"/>
      <c r="X431" s="5"/>
      <c r="Y431" s="1"/>
      <c r="Z431" s="1"/>
      <c r="AA431" s="1"/>
      <c r="AB431" s="4"/>
      <c r="AC431" s="5"/>
    </row>
    <row r="432" spans="16:29" ht="15" thickBot="1">
      <c r="P432" s="1"/>
      <c r="Q432" s="4"/>
      <c r="R432" s="1"/>
      <c r="S432" s="1"/>
      <c r="T432" s="1"/>
      <c r="U432" s="1"/>
      <c r="V432" s="1"/>
      <c r="W432" s="5"/>
      <c r="X432" s="5"/>
      <c r="Y432" s="1"/>
      <c r="Z432" s="1"/>
      <c r="AA432" s="1"/>
      <c r="AB432" s="4"/>
      <c r="AC432" s="5"/>
    </row>
    <row r="433" spans="16:29" ht="15" thickBot="1">
      <c r="P433" s="1"/>
      <c r="Q433" s="4"/>
      <c r="R433" s="1"/>
      <c r="S433" s="1"/>
      <c r="T433" s="1"/>
      <c r="U433" s="1"/>
      <c r="V433" s="1"/>
      <c r="W433" s="5"/>
      <c r="X433" s="5"/>
      <c r="Y433" s="1"/>
      <c r="Z433" s="1"/>
      <c r="AA433" s="1"/>
      <c r="AB433" s="4"/>
      <c r="AC433" s="5"/>
    </row>
    <row r="434" spans="16:29" ht="15" thickBot="1">
      <c r="P434" s="1"/>
      <c r="Q434" s="4"/>
      <c r="R434" s="1"/>
      <c r="S434" s="1"/>
      <c r="T434" s="1"/>
      <c r="U434" s="1"/>
      <c r="V434" s="1"/>
      <c r="W434" s="5"/>
      <c r="X434" s="5"/>
      <c r="Y434" s="1"/>
      <c r="Z434" s="1"/>
      <c r="AA434" s="1"/>
      <c r="AB434" s="4"/>
      <c r="AC434" s="5"/>
    </row>
    <row r="435" spans="16:29" ht="15" thickBot="1">
      <c r="P435" s="1"/>
      <c r="Q435" s="4"/>
      <c r="R435" s="1"/>
      <c r="S435" s="1"/>
      <c r="T435" s="1"/>
      <c r="U435" s="1"/>
      <c r="V435" s="1"/>
      <c r="W435" s="5"/>
      <c r="X435" s="5"/>
      <c r="Y435" s="1"/>
      <c r="Z435" s="1"/>
      <c r="AA435" s="1"/>
      <c r="AB435" s="4"/>
      <c r="AC435" s="5"/>
    </row>
    <row r="436" spans="16:29" ht="15" thickBot="1">
      <c r="P436" s="1"/>
      <c r="Q436" s="4"/>
      <c r="R436" s="1"/>
      <c r="S436" s="1"/>
      <c r="T436" s="1"/>
      <c r="U436" s="1"/>
      <c r="V436" s="1"/>
      <c r="W436" s="5"/>
      <c r="X436" s="5"/>
      <c r="Y436" s="1"/>
      <c r="Z436" s="1"/>
      <c r="AA436" s="1"/>
      <c r="AB436" s="4"/>
      <c r="AC436" s="5"/>
    </row>
    <row r="437" spans="16:29" ht="15" thickBot="1">
      <c r="P437" s="1"/>
      <c r="Q437" s="4"/>
      <c r="R437" s="1"/>
      <c r="S437" s="1"/>
      <c r="T437" s="1"/>
      <c r="U437" s="1"/>
      <c r="V437" s="1"/>
      <c r="W437" s="5"/>
      <c r="X437" s="5"/>
      <c r="Y437" s="1"/>
      <c r="Z437" s="1"/>
      <c r="AA437" s="1"/>
      <c r="AB437" s="4"/>
      <c r="AC437" s="5"/>
    </row>
    <row r="438" spans="16:29" ht="15" thickBot="1">
      <c r="P438" s="1"/>
      <c r="Q438" s="4"/>
      <c r="R438" s="1"/>
      <c r="S438" s="1"/>
      <c r="T438" s="1"/>
      <c r="U438" s="1"/>
      <c r="V438" s="1"/>
      <c r="W438" s="5"/>
      <c r="X438" s="5"/>
      <c r="Y438" s="1"/>
      <c r="Z438" s="1"/>
      <c r="AA438" s="1"/>
      <c r="AB438" s="4"/>
      <c r="AC438" s="5"/>
    </row>
    <row r="439" spans="16:29" ht="15" thickBot="1">
      <c r="P439" s="1"/>
      <c r="Q439" s="4"/>
      <c r="R439" s="1"/>
      <c r="S439" s="1"/>
      <c r="T439" s="1"/>
      <c r="U439" s="1"/>
      <c r="V439" s="1"/>
      <c r="W439" s="5"/>
      <c r="X439" s="5"/>
      <c r="Y439" s="1"/>
      <c r="Z439" s="1"/>
      <c r="AA439" s="1"/>
      <c r="AB439" s="4"/>
      <c r="AC439" s="5"/>
    </row>
    <row r="440" spans="16:29" ht="15" thickBot="1">
      <c r="P440" s="1"/>
      <c r="Q440" s="4"/>
      <c r="R440" s="1"/>
      <c r="S440" s="1"/>
      <c r="T440" s="1"/>
      <c r="U440" s="1"/>
      <c r="V440" s="1"/>
      <c r="W440" s="5"/>
      <c r="X440" s="5"/>
      <c r="Y440" s="1"/>
      <c r="Z440" s="1"/>
      <c r="AA440" s="1"/>
      <c r="AB440" s="4"/>
      <c r="AC440" s="5"/>
    </row>
    <row r="441" spans="16:29" ht="15" thickBot="1">
      <c r="P441" s="1"/>
      <c r="Q441" s="4"/>
      <c r="R441" s="1"/>
      <c r="S441" s="1"/>
      <c r="T441" s="1"/>
      <c r="U441" s="1"/>
      <c r="V441" s="1"/>
      <c r="W441" s="5"/>
      <c r="X441" s="5"/>
      <c r="Y441" s="1"/>
      <c r="Z441" s="1"/>
      <c r="AA441" s="1"/>
      <c r="AB441" s="4"/>
      <c r="AC441" s="5"/>
    </row>
    <row r="442" spans="16:29" ht="15" thickBot="1">
      <c r="P442" s="1"/>
      <c r="Q442" s="4"/>
      <c r="R442" s="1"/>
      <c r="S442" s="1"/>
      <c r="T442" s="1"/>
      <c r="U442" s="1"/>
      <c r="V442" s="1"/>
      <c r="W442" s="5"/>
      <c r="X442" s="5"/>
      <c r="Y442" s="1"/>
      <c r="Z442" s="1"/>
      <c r="AA442" s="1"/>
      <c r="AB442" s="4"/>
      <c r="AC442" s="5"/>
    </row>
    <row r="443" spans="16:29" ht="15" thickBot="1">
      <c r="P443" s="1"/>
      <c r="Q443" s="4"/>
      <c r="R443" s="1"/>
      <c r="S443" s="1"/>
      <c r="T443" s="1"/>
      <c r="U443" s="1"/>
      <c r="V443" s="1"/>
      <c r="W443" s="5"/>
      <c r="X443" s="5"/>
      <c r="Y443" s="1"/>
      <c r="Z443" s="1"/>
      <c r="AA443" s="1"/>
      <c r="AB443" s="4"/>
      <c r="AC443" s="5"/>
    </row>
    <row r="444" spans="16:29" ht="15" thickBot="1">
      <c r="P444" s="1"/>
      <c r="Q444" s="4"/>
      <c r="R444" s="1"/>
      <c r="S444" s="1"/>
      <c r="T444" s="1"/>
      <c r="U444" s="1"/>
      <c r="V444" s="1"/>
      <c r="W444" s="5"/>
      <c r="X444" s="5"/>
      <c r="Y444" s="1"/>
      <c r="Z444" s="1"/>
      <c r="AA444" s="1"/>
      <c r="AB444" s="4"/>
      <c r="AC444" s="5"/>
    </row>
    <row r="445" spans="16:29" ht="15" thickBot="1">
      <c r="P445" s="1"/>
      <c r="Q445" s="4"/>
      <c r="R445" s="1"/>
      <c r="S445" s="1"/>
      <c r="T445" s="1"/>
      <c r="U445" s="1"/>
      <c r="V445" s="1"/>
      <c r="W445" s="5"/>
      <c r="X445" s="5"/>
      <c r="Y445" s="1"/>
      <c r="Z445" s="1"/>
      <c r="AA445" s="1"/>
      <c r="AB445" s="4"/>
      <c r="AC445" s="5"/>
    </row>
    <row r="446" spans="16:29" ht="15" thickBot="1">
      <c r="P446" s="1"/>
      <c r="Q446" s="4"/>
      <c r="R446" s="1"/>
      <c r="S446" s="1"/>
      <c r="T446" s="1"/>
      <c r="U446" s="1"/>
      <c r="V446" s="1"/>
      <c r="W446" s="5"/>
      <c r="X446" s="5"/>
      <c r="Y446" s="1"/>
      <c r="Z446" s="1"/>
      <c r="AA446" s="1"/>
      <c r="AB446" s="4"/>
      <c r="AC446" s="5"/>
    </row>
    <row r="447" spans="16:29" ht="15" thickBot="1">
      <c r="P447" s="1"/>
      <c r="Q447" s="4"/>
      <c r="R447" s="1"/>
      <c r="S447" s="1"/>
      <c r="T447" s="1"/>
      <c r="U447" s="1"/>
      <c r="V447" s="1"/>
      <c r="W447" s="5"/>
      <c r="X447" s="5"/>
      <c r="Y447" s="1"/>
      <c r="Z447" s="1"/>
      <c r="AA447" s="1"/>
      <c r="AB447" s="4"/>
      <c r="AC447" s="5"/>
    </row>
    <row r="448" spans="16:29" ht="15" thickBot="1">
      <c r="P448" s="1"/>
      <c r="Q448" s="4"/>
      <c r="R448" s="1"/>
      <c r="S448" s="1"/>
      <c r="T448" s="1"/>
      <c r="U448" s="1"/>
      <c r="V448" s="1"/>
      <c r="W448" s="5"/>
      <c r="X448" s="5"/>
      <c r="Y448" s="1"/>
      <c r="Z448" s="1"/>
      <c r="AA448" s="1"/>
      <c r="AB448" s="4"/>
      <c r="AC448" s="5"/>
    </row>
    <row r="449" spans="16:29" ht="15" thickBot="1">
      <c r="P449" s="1"/>
      <c r="Q449" s="4"/>
      <c r="R449" s="1"/>
      <c r="S449" s="1"/>
      <c r="T449" s="1"/>
      <c r="U449" s="1"/>
      <c r="V449" s="1"/>
      <c r="W449" s="5"/>
      <c r="X449" s="5"/>
      <c r="Y449" s="1"/>
      <c r="Z449" s="1"/>
      <c r="AA449" s="1"/>
      <c r="AB449" s="4"/>
      <c r="AC449" s="5"/>
    </row>
    <row r="450" spans="16:29" ht="15" thickBot="1">
      <c r="P450" s="1"/>
      <c r="Q450" s="4"/>
      <c r="R450" s="1"/>
      <c r="S450" s="1"/>
      <c r="T450" s="1"/>
      <c r="U450" s="1"/>
      <c r="V450" s="1"/>
      <c r="W450" s="5"/>
      <c r="X450" s="5"/>
      <c r="Y450" s="1"/>
      <c r="Z450" s="1"/>
      <c r="AA450" s="1"/>
      <c r="AB450" s="4"/>
      <c r="AC450" s="5"/>
    </row>
    <row r="451" spans="16:29" ht="15" thickBot="1">
      <c r="P451" s="1"/>
      <c r="Q451" s="4"/>
      <c r="R451" s="1"/>
      <c r="S451" s="1"/>
      <c r="T451" s="1"/>
      <c r="U451" s="1"/>
      <c r="V451" s="1"/>
      <c r="W451" s="5"/>
      <c r="X451" s="5"/>
      <c r="Y451" s="1"/>
      <c r="Z451" s="1"/>
      <c r="AA451" s="1"/>
      <c r="AB451" s="4"/>
      <c r="AC451" s="5"/>
    </row>
    <row r="452" spans="16:29" ht="15" thickBot="1">
      <c r="P452" s="1"/>
      <c r="Q452" s="4"/>
      <c r="R452" s="1"/>
      <c r="S452" s="1"/>
      <c r="T452" s="1"/>
      <c r="U452" s="1"/>
      <c r="V452" s="1"/>
      <c r="W452" s="5"/>
      <c r="X452" s="5"/>
      <c r="Y452" s="1"/>
      <c r="Z452" s="1"/>
      <c r="AA452" s="1"/>
      <c r="AB452" s="4"/>
      <c r="AC452" s="5"/>
    </row>
    <row r="453" spans="16:29" ht="15" thickBot="1">
      <c r="P453" s="1"/>
      <c r="Q453" s="4"/>
      <c r="R453" s="1"/>
      <c r="S453" s="1"/>
      <c r="T453" s="1"/>
      <c r="U453" s="1"/>
      <c r="V453" s="1"/>
      <c r="W453" s="5"/>
      <c r="X453" s="5"/>
      <c r="Y453" s="1"/>
      <c r="Z453" s="1"/>
      <c r="AA453" s="1"/>
      <c r="AB453" s="4"/>
      <c r="AC453" s="5"/>
    </row>
    <row r="454" spans="16:29" ht="15" thickBot="1">
      <c r="P454" s="1"/>
      <c r="Q454" s="4"/>
      <c r="R454" s="1"/>
      <c r="S454" s="1"/>
      <c r="T454" s="1"/>
      <c r="U454" s="1"/>
      <c r="V454" s="1"/>
      <c r="W454" s="5"/>
      <c r="X454" s="5"/>
      <c r="Y454" s="1"/>
      <c r="Z454" s="1"/>
      <c r="AA454" s="1"/>
      <c r="AB454" s="4"/>
      <c r="AC454" s="5"/>
    </row>
    <row r="455" spans="16:29" ht="15" thickBot="1">
      <c r="P455" s="1"/>
      <c r="Q455" s="4"/>
      <c r="R455" s="1"/>
      <c r="S455" s="1"/>
      <c r="T455" s="1"/>
      <c r="U455" s="1"/>
      <c r="V455" s="1"/>
      <c r="W455" s="5"/>
      <c r="X455" s="5"/>
      <c r="Y455" s="1"/>
      <c r="Z455" s="1"/>
      <c r="AA455" s="1"/>
      <c r="AB455" s="4"/>
      <c r="AC455" s="5"/>
    </row>
    <row r="456" spans="16:29" ht="15" thickBot="1">
      <c r="P456" s="1"/>
      <c r="Q456" s="4"/>
      <c r="R456" s="1"/>
      <c r="S456" s="1"/>
      <c r="T456" s="1"/>
      <c r="U456" s="1"/>
      <c r="V456" s="1"/>
      <c r="W456" s="5"/>
      <c r="X456" s="5"/>
      <c r="Y456" s="1"/>
      <c r="Z456" s="1"/>
      <c r="AA456" s="1"/>
      <c r="AB456" s="4"/>
      <c r="AC456" s="5"/>
    </row>
    <row r="457" spans="16:29" ht="15" thickBot="1">
      <c r="P457" s="1"/>
      <c r="Q457" s="4"/>
      <c r="R457" s="1"/>
      <c r="S457" s="1"/>
      <c r="T457" s="1"/>
      <c r="U457" s="1"/>
      <c r="V457" s="1"/>
      <c r="W457" s="5"/>
      <c r="X457" s="5"/>
      <c r="Y457" s="1"/>
      <c r="Z457" s="1"/>
      <c r="AA457" s="1"/>
      <c r="AB457" s="4"/>
      <c r="AC457" s="5"/>
    </row>
    <row r="458" spans="16:29" ht="15" thickBot="1">
      <c r="P458" s="1"/>
      <c r="Q458" s="4"/>
      <c r="R458" s="1"/>
      <c r="S458" s="1"/>
      <c r="T458" s="1"/>
      <c r="U458" s="1"/>
      <c r="V458" s="1"/>
      <c r="W458" s="5"/>
      <c r="X458" s="5"/>
      <c r="Y458" s="1"/>
      <c r="Z458" s="1"/>
      <c r="AA458" s="1"/>
      <c r="AB458" s="4"/>
      <c r="AC458" s="5"/>
    </row>
    <row r="459" spans="16:29" ht="15" thickBot="1">
      <c r="P459" s="1"/>
      <c r="Q459" s="4"/>
      <c r="R459" s="1"/>
      <c r="S459" s="1"/>
      <c r="T459" s="1"/>
      <c r="U459" s="1"/>
      <c r="V459" s="1"/>
      <c r="W459" s="5"/>
      <c r="X459" s="5"/>
      <c r="Y459" s="1"/>
      <c r="Z459" s="1"/>
      <c r="AA459" s="1"/>
      <c r="AB459" s="4"/>
      <c r="AC459" s="5"/>
    </row>
    <row r="460" spans="16:29" ht="15" thickBot="1">
      <c r="P460" s="1"/>
      <c r="Q460" s="4"/>
      <c r="R460" s="1"/>
      <c r="S460" s="1"/>
      <c r="T460" s="1"/>
      <c r="U460" s="1"/>
      <c r="V460" s="1"/>
      <c r="W460" s="5"/>
      <c r="X460" s="5"/>
      <c r="Y460" s="1"/>
      <c r="Z460" s="1"/>
      <c r="AA460" s="1"/>
      <c r="AB460" s="4"/>
      <c r="AC460" s="5"/>
    </row>
    <row r="461" spans="16:29" ht="15" thickBot="1">
      <c r="P461" s="1"/>
      <c r="Q461" s="4"/>
      <c r="R461" s="1"/>
      <c r="S461" s="1"/>
      <c r="T461" s="1"/>
      <c r="U461" s="1"/>
      <c r="V461" s="1"/>
      <c r="W461" s="5"/>
      <c r="X461" s="5"/>
      <c r="Y461" s="1"/>
      <c r="Z461" s="1"/>
      <c r="AA461" s="1"/>
      <c r="AB461" s="4"/>
      <c r="AC461" s="5"/>
    </row>
    <row r="462" spans="16:29" ht="15" thickBot="1">
      <c r="P462" s="1"/>
      <c r="Q462" s="4"/>
      <c r="R462" s="1"/>
      <c r="S462" s="1"/>
      <c r="T462" s="1"/>
      <c r="U462" s="1"/>
      <c r="V462" s="1"/>
      <c r="W462" s="5"/>
      <c r="X462" s="5"/>
      <c r="Y462" s="1"/>
      <c r="Z462" s="1"/>
      <c r="AA462" s="1"/>
      <c r="AB462" s="4"/>
      <c r="AC462" s="5"/>
    </row>
    <row r="463" spans="16:29" ht="15" thickBot="1">
      <c r="P463" s="1"/>
      <c r="Q463" s="4"/>
      <c r="R463" s="1"/>
      <c r="S463" s="1"/>
      <c r="T463" s="1"/>
      <c r="U463" s="1"/>
      <c r="V463" s="1"/>
      <c r="W463" s="5"/>
      <c r="X463" s="5"/>
      <c r="Y463" s="1"/>
      <c r="Z463" s="1"/>
      <c r="AA463" s="1"/>
      <c r="AB463" s="4"/>
      <c r="AC463" s="5"/>
    </row>
    <row r="464" spans="16:29" ht="15" thickBot="1">
      <c r="P464" s="1"/>
      <c r="Q464" s="4"/>
      <c r="R464" s="1"/>
      <c r="S464" s="1"/>
      <c r="T464" s="1"/>
      <c r="U464" s="1"/>
      <c r="V464" s="1"/>
      <c r="W464" s="5"/>
      <c r="X464" s="5"/>
      <c r="Y464" s="1"/>
      <c r="Z464" s="1"/>
      <c r="AA464" s="1"/>
      <c r="AB464" s="4"/>
      <c r="AC464" s="5"/>
    </row>
    <row r="465" spans="16:29" ht="15" thickBot="1">
      <c r="P465" s="1"/>
      <c r="Q465" s="4"/>
      <c r="R465" s="1"/>
      <c r="S465" s="1"/>
      <c r="T465" s="1"/>
      <c r="U465" s="1"/>
      <c r="V465" s="1"/>
      <c r="W465" s="5"/>
      <c r="X465" s="5"/>
      <c r="Y465" s="1"/>
      <c r="Z465" s="1"/>
      <c r="AA465" s="1"/>
      <c r="AB465" s="4"/>
      <c r="AC465" s="5"/>
    </row>
    <row r="466" spans="16:29" ht="15" thickBot="1">
      <c r="P466" s="1"/>
      <c r="Q466" s="4"/>
      <c r="R466" s="1"/>
      <c r="S466" s="1"/>
      <c r="T466" s="1"/>
      <c r="U466" s="1"/>
      <c r="V466" s="1"/>
      <c r="W466" s="5"/>
      <c r="X466" s="5"/>
      <c r="Y466" s="1"/>
      <c r="Z466" s="1"/>
      <c r="AA466" s="1"/>
      <c r="AB466" s="4"/>
      <c r="AC466" s="5"/>
    </row>
    <row r="467" spans="16:29" ht="15" thickBot="1">
      <c r="P467" s="1"/>
      <c r="Q467" s="4"/>
      <c r="R467" s="1"/>
      <c r="S467" s="1"/>
      <c r="T467" s="1"/>
      <c r="U467" s="1"/>
      <c r="V467" s="1"/>
      <c r="W467" s="5"/>
      <c r="X467" s="5"/>
      <c r="Y467" s="1"/>
      <c r="Z467" s="1"/>
      <c r="AA467" s="1"/>
      <c r="AB467" s="4"/>
      <c r="AC467" s="5"/>
    </row>
    <row r="468" spans="16:29" ht="15" thickBot="1">
      <c r="P468" s="1"/>
      <c r="Q468" s="4"/>
      <c r="R468" s="1"/>
      <c r="S468" s="1"/>
      <c r="T468" s="1"/>
      <c r="U468" s="1"/>
      <c r="V468" s="1"/>
      <c r="W468" s="5"/>
      <c r="X468" s="5"/>
      <c r="Y468" s="1"/>
      <c r="Z468" s="1"/>
      <c r="AA468" s="1"/>
      <c r="AB468" s="4"/>
      <c r="AC468" s="5"/>
    </row>
    <row r="469" spans="16:29" ht="15" thickBot="1">
      <c r="P469" s="1"/>
      <c r="Q469" s="4"/>
      <c r="R469" s="1"/>
      <c r="S469" s="1"/>
      <c r="T469" s="1"/>
      <c r="U469" s="1"/>
      <c r="V469" s="1"/>
      <c r="W469" s="5"/>
      <c r="X469" s="5"/>
      <c r="Y469" s="1"/>
      <c r="Z469" s="1"/>
      <c r="AA469" s="1"/>
      <c r="AB469" s="4"/>
      <c r="AC469" s="5"/>
    </row>
    <row r="470" spans="16:29" ht="15" thickBot="1">
      <c r="P470" s="1"/>
      <c r="Q470" s="4"/>
      <c r="R470" s="1"/>
      <c r="S470" s="1"/>
      <c r="T470" s="1"/>
      <c r="U470" s="1"/>
      <c r="V470" s="1"/>
      <c r="W470" s="5"/>
      <c r="X470" s="5"/>
      <c r="Y470" s="1"/>
      <c r="Z470" s="1"/>
      <c r="AA470" s="1"/>
      <c r="AB470" s="4"/>
      <c r="AC470" s="5"/>
    </row>
    <row r="471" spans="16:29" ht="15" thickBot="1">
      <c r="P471" s="1"/>
      <c r="Q471" s="4"/>
      <c r="R471" s="1"/>
      <c r="S471" s="1"/>
      <c r="T471" s="1"/>
      <c r="U471" s="1"/>
      <c r="V471" s="1"/>
      <c r="W471" s="5"/>
      <c r="X471" s="5"/>
      <c r="Y471" s="1"/>
      <c r="Z471" s="1"/>
      <c r="AA471" s="1"/>
      <c r="AB471" s="4"/>
      <c r="AC471" s="5"/>
    </row>
    <row r="472" spans="16:29" ht="15" thickBot="1">
      <c r="P472" s="1"/>
      <c r="Q472" s="4"/>
      <c r="R472" s="1"/>
      <c r="S472" s="1"/>
      <c r="T472" s="1"/>
      <c r="U472" s="1"/>
      <c r="V472" s="1"/>
      <c r="W472" s="5"/>
      <c r="X472" s="5"/>
      <c r="Y472" s="1"/>
      <c r="Z472" s="1"/>
      <c r="AA472" s="1"/>
      <c r="AB472" s="4"/>
      <c r="AC472" s="5"/>
    </row>
    <row r="473" spans="16:29" ht="15" thickBot="1">
      <c r="P473" s="1"/>
      <c r="Q473" s="4"/>
      <c r="R473" s="1"/>
      <c r="S473" s="1"/>
      <c r="T473" s="1"/>
      <c r="U473" s="1"/>
      <c r="V473" s="1"/>
      <c r="W473" s="5"/>
      <c r="X473" s="5"/>
      <c r="Y473" s="1"/>
      <c r="Z473" s="1"/>
      <c r="AA473" s="1"/>
      <c r="AB473" s="4"/>
      <c r="AC473" s="5"/>
    </row>
    <row r="474" spans="16:29" ht="15" thickBot="1">
      <c r="P474" s="1"/>
      <c r="Q474" s="4"/>
      <c r="R474" s="1"/>
      <c r="S474" s="1"/>
      <c r="T474" s="1"/>
      <c r="U474" s="1"/>
      <c r="V474" s="1"/>
      <c r="W474" s="5"/>
      <c r="X474" s="5"/>
      <c r="Y474" s="1"/>
      <c r="Z474" s="1"/>
      <c r="AA474" s="1"/>
      <c r="AB474" s="4"/>
      <c r="AC474" s="5"/>
    </row>
    <row r="475" spans="16:29" ht="15" thickBot="1">
      <c r="P475" s="1"/>
      <c r="Q475" s="4"/>
      <c r="R475" s="1"/>
      <c r="S475" s="1"/>
      <c r="T475" s="1"/>
      <c r="U475" s="1"/>
      <c r="V475" s="1"/>
      <c r="W475" s="5"/>
      <c r="X475" s="5"/>
      <c r="Y475" s="1"/>
      <c r="Z475" s="1"/>
      <c r="AA475" s="1"/>
      <c r="AB475" s="4"/>
      <c r="AC475" s="5"/>
    </row>
    <row r="476" spans="16:29" ht="15" thickBot="1">
      <c r="P476" s="1"/>
      <c r="Q476" s="4"/>
      <c r="R476" s="1"/>
      <c r="S476" s="1"/>
      <c r="T476" s="1"/>
      <c r="U476" s="1"/>
      <c r="V476" s="1"/>
      <c r="W476" s="5"/>
      <c r="X476" s="5"/>
      <c r="Y476" s="1"/>
      <c r="Z476" s="1"/>
      <c r="AA476" s="1"/>
      <c r="AB476" s="4"/>
      <c r="AC476" s="5"/>
    </row>
    <row r="477" spans="16:29" ht="15" thickBot="1">
      <c r="P477" s="1"/>
      <c r="Q477" s="4"/>
      <c r="R477" s="1"/>
      <c r="S477" s="1"/>
      <c r="T477" s="1"/>
      <c r="U477" s="1"/>
      <c r="V477" s="1"/>
      <c r="W477" s="5"/>
      <c r="X477" s="5"/>
      <c r="Y477" s="1"/>
      <c r="Z477" s="1"/>
      <c r="AA477" s="1"/>
      <c r="AB477" s="4"/>
      <c r="AC477" s="5"/>
    </row>
    <row r="478" spans="16:29" ht="15" thickBot="1">
      <c r="P478" s="1"/>
      <c r="Q478" s="4"/>
      <c r="R478" s="1"/>
      <c r="S478" s="1"/>
      <c r="T478" s="1"/>
      <c r="U478" s="1"/>
      <c r="V478" s="1"/>
      <c r="W478" s="5"/>
      <c r="X478" s="5"/>
      <c r="Y478" s="1"/>
      <c r="Z478" s="1"/>
      <c r="AA478" s="1"/>
      <c r="AB478" s="4"/>
      <c r="AC478" s="5"/>
    </row>
    <row r="479" spans="16:29" ht="15" thickBot="1">
      <c r="P479" s="1"/>
      <c r="Q479" s="4"/>
      <c r="R479" s="1"/>
      <c r="S479" s="1"/>
      <c r="T479" s="1"/>
      <c r="U479" s="1"/>
      <c r="V479" s="1"/>
      <c r="W479" s="5"/>
      <c r="X479" s="5"/>
      <c r="Y479" s="1"/>
      <c r="Z479" s="1"/>
      <c r="AA479" s="1"/>
      <c r="AB479" s="4"/>
      <c r="AC479" s="5"/>
    </row>
    <row r="480" spans="16:29" ht="15" thickBot="1">
      <c r="P480" s="1"/>
      <c r="Q480" s="4"/>
      <c r="R480" s="1"/>
      <c r="S480" s="1"/>
      <c r="T480" s="1"/>
      <c r="U480" s="1"/>
      <c r="V480" s="1"/>
      <c r="W480" s="5"/>
      <c r="X480" s="5"/>
      <c r="Y480" s="1"/>
      <c r="Z480" s="1"/>
      <c r="AA480" s="1"/>
      <c r="AB480" s="4"/>
      <c r="AC480" s="5"/>
    </row>
    <row r="481" spans="16:29" ht="15" thickBot="1">
      <c r="P481" s="1"/>
      <c r="Q481" s="4"/>
      <c r="R481" s="1"/>
      <c r="S481" s="1"/>
      <c r="T481" s="1"/>
      <c r="U481" s="1"/>
      <c r="V481" s="1"/>
      <c r="W481" s="5"/>
      <c r="X481" s="5"/>
      <c r="Y481" s="1"/>
      <c r="Z481" s="1"/>
      <c r="AA481" s="1"/>
      <c r="AB481" s="4"/>
      <c r="AC481" s="5"/>
    </row>
    <row r="482" spans="16:29" ht="15" thickBot="1">
      <c r="P482" s="1"/>
      <c r="Q482" s="4"/>
      <c r="R482" s="1"/>
      <c r="S482" s="1"/>
      <c r="T482" s="1"/>
      <c r="U482" s="1"/>
      <c r="V482" s="1"/>
      <c r="W482" s="5"/>
      <c r="X482" s="5"/>
      <c r="Y482" s="1"/>
      <c r="Z482" s="1"/>
      <c r="AA482" s="1"/>
      <c r="AB482" s="4"/>
      <c r="AC482" s="5"/>
    </row>
    <row r="483" spans="16:29" ht="15" thickBot="1">
      <c r="P483" s="1"/>
      <c r="Q483" s="4"/>
      <c r="R483" s="1"/>
      <c r="S483" s="1"/>
      <c r="T483" s="1"/>
      <c r="U483" s="1"/>
      <c r="V483" s="1"/>
      <c r="W483" s="5"/>
      <c r="X483" s="5"/>
      <c r="Y483" s="1"/>
      <c r="Z483" s="1"/>
      <c r="AA483" s="1"/>
      <c r="AB483" s="4"/>
      <c r="AC483" s="5"/>
    </row>
    <row r="484" spans="16:29" ht="15" thickBot="1">
      <c r="P484" s="1"/>
      <c r="Q484" s="4"/>
      <c r="R484" s="1"/>
      <c r="S484" s="1"/>
      <c r="T484" s="1"/>
      <c r="U484" s="1"/>
      <c r="V484" s="1"/>
      <c r="W484" s="5"/>
      <c r="X484" s="5"/>
      <c r="Y484" s="1"/>
      <c r="Z484" s="1"/>
      <c r="AA484" s="1"/>
      <c r="AB484" s="4"/>
      <c r="AC484" s="5"/>
    </row>
    <row r="485" spans="16:29" ht="15" thickBot="1">
      <c r="P485" s="1"/>
      <c r="Q485" s="4"/>
      <c r="R485" s="1"/>
      <c r="S485" s="1"/>
      <c r="T485" s="1"/>
      <c r="U485" s="1"/>
      <c r="V485" s="1"/>
      <c r="W485" s="5"/>
      <c r="X485" s="5"/>
      <c r="Y485" s="1"/>
      <c r="Z485" s="1"/>
      <c r="AA485" s="1"/>
      <c r="AB485" s="4"/>
      <c r="AC485" s="5"/>
    </row>
    <row r="486" spans="16:29" ht="15" thickBot="1">
      <c r="P486" s="1"/>
      <c r="Q486" s="4"/>
      <c r="R486" s="1"/>
      <c r="S486" s="1"/>
      <c r="T486" s="1"/>
      <c r="U486" s="1"/>
      <c r="V486" s="1"/>
      <c r="W486" s="5"/>
      <c r="X486" s="5"/>
      <c r="Y486" s="1"/>
      <c r="Z486" s="1"/>
      <c r="AA486" s="1"/>
      <c r="AB486" s="4"/>
      <c r="AC486" s="5"/>
    </row>
    <row r="487" spans="16:29" ht="15" thickBot="1">
      <c r="P487" s="1"/>
      <c r="Q487" s="4"/>
      <c r="R487" s="1"/>
      <c r="S487" s="1"/>
      <c r="T487" s="1"/>
      <c r="U487" s="1"/>
      <c r="V487" s="1"/>
      <c r="W487" s="5"/>
      <c r="X487" s="5"/>
      <c r="Y487" s="1"/>
      <c r="Z487" s="1"/>
      <c r="AA487" s="1"/>
      <c r="AB487" s="4"/>
      <c r="AC487" s="5"/>
    </row>
    <row r="488" spans="16:29" ht="15" thickBot="1">
      <c r="P488" s="1"/>
      <c r="Q488" s="4"/>
      <c r="R488" s="1"/>
      <c r="S488" s="1"/>
      <c r="T488" s="1"/>
      <c r="U488" s="1"/>
      <c r="V488" s="1"/>
      <c r="W488" s="5"/>
      <c r="X488" s="5"/>
      <c r="Y488" s="1"/>
      <c r="Z488" s="1"/>
      <c r="AA488" s="1"/>
      <c r="AB488" s="4"/>
      <c r="AC488" s="5"/>
    </row>
    <row r="489" spans="16:29" ht="15" thickBot="1">
      <c r="P489" s="1"/>
      <c r="Q489" s="4"/>
      <c r="R489" s="1"/>
      <c r="S489" s="1"/>
      <c r="T489" s="1"/>
      <c r="U489" s="1"/>
      <c r="V489" s="1"/>
      <c r="W489" s="5"/>
      <c r="X489" s="5"/>
      <c r="Y489" s="1"/>
      <c r="Z489" s="1"/>
      <c r="AA489" s="1"/>
      <c r="AB489" s="4"/>
      <c r="AC489" s="5"/>
    </row>
    <row r="490" spans="16:29" ht="15" thickBot="1">
      <c r="P490" s="1"/>
      <c r="Q490" s="4"/>
      <c r="R490" s="1"/>
      <c r="S490" s="1"/>
      <c r="T490" s="1"/>
      <c r="U490" s="1"/>
      <c r="V490" s="1"/>
      <c r="W490" s="5"/>
      <c r="X490" s="5"/>
      <c r="Y490" s="1"/>
      <c r="Z490" s="1"/>
      <c r="AA490" s="1"/>
      <c r="AB490" s="4"/>
      <c r="AC490" s="5"/>
    </row>
    <row r="491" spans="16:29" ht="15" thickBot="1">
      <c r="P491" s="1"/>
      <c r="Q491" s="4"/>
      <c r="R491" s="1"/>
      <c r="S491" s="1"/>
      <c r="T491" s="1"/>
      <c r="U491" s="1"/>
      <c r="V491" s="1"/>
      <c r="W491" s="5"/>
      <c r="X491" s="5"/>
      <c r="Y491" s="1"/>
      <c r="Z491" s="1"/>
      <c r="AA491" s="1"/>
      <c r="AB491" s="4"/>
      <c r="AC491" s="5"/>
    </row>
    <row r="492" spans="16:29" ht="15" thickBot="1">
      <c r="P492" s="1"/>
      <c r="Q492" s="4"/>
      <c r="R492" s="1"/>
      <c r="S492" s="1"/>
      <c r="T492" s="1"/>
      <c r="U492" s="1"/>
      <c r="V492" s="1"/>
      <c r="W492" s="5"/>
      <c r="X492" s="5"/>
      <c r="Y492" s="1"/>
      <c r="Z492" s="1"/>
      <c r="AA492" s="1"/>
      <c r="AB492" s="4"/>
      <c r="AC492" s="5"/>
    </row>
    <row r="493" spans="16:29" ht="15" thickBot="1">
      <c r="P493" s="1"/>
      <c r="Q493" s="4"/>
      <c r="R493" s="1"/>
      <c r="S493" s="1"/>
      <c r="T493" s="1"/>
      <c r="U493" s="1"/>
      <c r="V493" s="1"/>
      <c r="W493" s="5"/>
      <c r="X493" s="5"/>
      <c r="Y493" s="1"/>
      <c r="Z493" s="1"/>
      <c r="AA493" s="1"/>
      <c r="AB493" s="4"/>
      <c r="AC49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BD0F-5F3F-45E8-AFEF-2FE4D6A06DE4}">
  <dimension ref="A1:O252"/>
  <sheetViews>
    <sheetView workbookViewId="0">
      <selection activeCell="P5" sqref="P5"/>
    </sheetView>
  </sheetViews>
  <sheetFormatPr defaultRowHeight="14.4"/>
  <cols>
    <col min="2" max="2" width="10.33203125" bestFit="1" customWidth="1"/>
    <col min="13" max="13" width="10.33203125" bestFit="1" customWidth="1"/>
  </cols>
  <sheetData>
    <row r="1" spans="1:15" ht="15" thickBot="1">
      <c r="A1" t="s">
        <v>406</v>
      </c>
    </row>
    <row r="2" spans="1:15" ht="43.8" thickBot="1">
      <c r="A2" s="2" t="s">
        <v>0</v>
      </c>
      <c r="B2" s="2" t="s">
        <v>1</v>
      </c>
      <c r="C2" s="2" t="s">
        <v>2</v>
      </c>
      <c r="D2" s="2" t="s">
        <v>3</v>
      </c>
      <c r="E2" s="2" t="s">
        <v>4</v>
      </c>
      <c r="F2" s="2" t="s">
        <v>5</v>
      </c>
      <c r="G2" s="2" t="s">
        <v>6</v>
      </c>
      <c r="H2" s="2" t="s">
        <v>7</v>
      </c>
      <c r="I2" s="2" t="s">
        <v>8</v>
      </c>
      <c r="J2" s="2" t="s">
        <v>9</v>
      </c>
      <c r="K2" s="2" t="s">
        <v>10</v>
      </c>
      <c r="L2" s="2" t="s">
        <v>11</v>
      </c>
      <c r="M2" s="2" t="s">
        <v>12</v>
      </c>
      <c r="N2" s="10" t="s">
        <v>13</v>
      </c>
    </row>
    <row r="3" spans="1:15" ht="29.4" thickBot="1">
      <c r="A3" s="1" t="s">
        <v>14</v>
      </c>
      <c r="B3" s="4">
        <v>45393</v>
      </c>
      <c r="C3" s="1" t="s">
        <v>15</v>
      </c>
      <c r="D3" s="1" t="s">
        <v>16</v>
      </c>
      <c r="E3" s="1" t="s">
        <v>17</v>
      </c>
      <c r="F3" s="1" t="s">
        <v>18</v>
      </c>
      <c r="G3" s="1" t="s">
        <v>19</v>
      </c>
      <c r="H3" s="5">
        <v>3</v>
      </c>
      <c r="I3" s="5">
        <v>249.99</v>
      </c>
      <c r="J3" s="1" t="s">
        <v>20</v>
      </c>
      <c r="K3" s="1" t="s">
        <v>21</v>
      </c>
      <c r="L3" s="1" t="s">
        <v>22</v>
      </c>
      <c r="M3" s="4">
        <v>44425</v>
      </c>
      <c r="N3" s="11">
        <v>749.97</v>
      </c>
      <c r="O3" s="12" t="s">
        <v>407</v>
      </c>
    </row>
    <row r="4" spans="1:15" ht="29.4" thickBot="1">
      <c r="A4" s="1" t="s">
        <v>23</v>
      </c>
      <c r="B4" s="4">
        <v>45396</v>
      </c>
      <c r="C4" s="1" t="s">
        <v>24</v>
      </c>
      <c r="D4" s="1" t="s">
        <v>25</v>
      </c>
      <c r="E4" s="1" t="s">
        <v>17</v>
      </c>
      <c r="F4" s="1" t="s">
        <v>18</v>
      </c>
      <c r="G4" s="1" t="s">
        <v>19</v>
      </c>
      <c r="H4" s="5">
        <v>3</v>
      </c>
      <c r="I4" s="5">
        <v>249.99</v>
      </c>
      <c r="J4" s="1" t="s">
        <v>26</v>
      </c>
      <c r="K4" s="1" t="s">
        <v>21</v>
      </c>
      <c r="L4" s="1" t="s">
        <v>27</v>
      </c>
      <c r="M4" s="4">
        <v>44575</v>
      </c>
      <c r="N4" s="11">
        <v>749.97</v>
      </c>
    </row>
    <row r="5" spans="1:15" ht="29.4" thickBot="1">
      <c r="A5" s="1" t="s">
        <v>28</v>
      </c>
      <c r="B5" s="4">
        <v>45399</v>
      </c>
      <c r="C5" s="1" t="s">
        <v>29</v>
      </c>
      <c r="D5" s="1" t="s">
        <v>30</v>
      </c>
      <c r="E5" s="1" t="s">
        <v>31</v>
      </c>
      <c r="F5" s="1" t="s">
        <v>32</v>
      </c>
      <c r="G5" s="1" t="s">
        <v>33</v>
      </c>
      <c r="H5" s="5">
        <v>3</v>
      </c>
      <c r="I5" s="5">
        <v>59.99</v>
      </c>
      <c r="J5" s="1" t="s">
        <v>34</v>
      </c>
      <c r="K5" s="1" t="s">
        <v>35</v>
      </c>
      <c r="L5" s="1" t="s">
        <v>36</v>
      </c>
      <c r="M5" s="4">
        <v>45262</v>
      </c>
      <c r="N5" s="11">
        <v>179.97</v>
      </c>
    </row>
    <row r="6" spans="1:15" ht="29.4" thickBot="1">
      <c r="A6" s="1" t="s">
        <v>37</v>
      </c>
      <c r="B6" s="4">
        <v>45400</v>
      </c>
      <c r="C6" s="1" t="s">
        <v>38</v>
      </c>
      <c r="D6" s="1" t="s">
        <v>39</v>
      </c>
      <c r="E6" s="1" t="s">
        <v>31</v>
      </c>
      <c r="F6" s="1" t="s">
        <v>32</v>
      </c>
      <c r="G6" s="1" t="s">
        <v>33</v>
      </c>
      <c r="H6" s="5">
        <v>3</v>
      </c>
      <c r="I6" s="5">
        <v>59.99</v>
      </c>
      <c r="J6" s="1" t="s">
        <v>20</v>
      </c>
      <c r="K6" s="1" t="s">
        <v>40</v>
      </c>
      <c r="L6" s="1" t="s">
        <v>27</v>
      </c>
      <c r="M6" s="4">
        <v>45114</v>
      </c>
      <c r="N6" s="11">
        <v>179.97</v>
      </c>
    </row>
    <row r="7" spans="1:15" ht="29.4" thickBot="1">
      <c r="A7" s="1" t="s">
        <v>41</v>
      </c>
      <c r="B7" s="4">
        <v>45400</v>
      </c>
      <c r="C7" s="1" t="s">
        <v>42</v>
      </c>
      <c r="D7" s="1" t="s">
        <v>43</v>
      </c>
      <c r="E7" s="1" t="s">
        <v>44</v>
      </c>
      <c r="F7" s="1" t="s">
        <v>45</v>
      </c>
      <c r="G7" s="1" t="s">
        <v>46</v>
      </c>
      <c r="H7" s="5">
        <v>5</v>
      </c>
      <c r="I7" s="5">
        <v>149.99</v>
      </c>
      <c r="J7" s="1" t="s">
        <v>26</v>
      </c>
      <c r="K7" s="1" t="s">
        <v>40</v>
      </c>
      <c r="L7" s="1" t="s">
        <v>27</v>
      </c>
      <c r="M7" s="4">
        <v>45295</v>
      </c>
      <c r="N7" s="11">
        <v>749.95</v>
      </c>
    </row>
    <row r="8" spans="1:15" ht="29.4" thickBot="1">
      <c r="A8" s="1" t="s">
        <v>47</v>
      </c>
      <c r="B8" s="4">
        <v>45403</v>
      </c>
      <c r="C8" s="1" t="s">
        <v>48</v>
      </c>
      <c r="D8" s="1" t="s">
        <v>49</v>
      </c>
      <c r="E8" s="1" t="s">
        <v>31</v>
      </c>
      <c r="F8" s="1" t="s">
        <v>32</v>
      </c>
      <c r="G8" s="1" t="s">
        <v>33</v>
      </c>
      <c r="H8" s="5">
        <v>2</v>
      </c>
      <c r="I8" s="5">
        <v>59.99</v>
      </c>
      <c r="J8" s="1" t="s">
        <v>20</v>
      </c>
      <c r="K8" s="1" t="s">
        <v>50</v>
      </c>
      <c r="L8" s="1" t="s">
        <v>36</v>
      </c>
      <c r="M8" s="4">
        <v>44746</v>
      </c>
      <c r="N8" s="11">
        <v>119.98</v>
      </c>
    </row>
    <row r="9" spans="1:15" ht="29.4" thickBot="1">
      <c r="A9" s="1" t="s">
        <v>51</v>
      </c>
      <c r="B9" s="4">
        <v>45403</v>
      </c>
      <c r="C9" s="1" t="s">
        <v>48</v>
      </c>
      <c r="D9" s="1" t="s">
        <v>49</v>
      </c>
      <c r="E9" s="1" t="s">
        <v>52</v>
      </c>
      <c r="F9" s="1" t="s">
        <v>53</v>
      </c>
      <c r="G9" s="1" t="s">
        <v>19</v>
      </c>
      <c r="H9" s="5">
        <v>5</v>
      </c>
      <c r="I9" s="5">
        <v>149.99</v>
      </c>
      <c r="J9" s="1" t="s">
        <v>26</v>
      </c>
      <c r="K9" s="1" t="s">
        <v>21</v>
      </c>
      <c r="L9" s="1" t="s">
        <v>36</v>
      </c>
      <c r="M9" s="4">
        <v>44418</v>
      </c>
      <c r="N9" s="11">
        <v>749.95</v>
      </c>
    </row>
    <row r="10" spans="1:15"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11">
        <v>179.97</v>
      </c>
    </row>
    <row r="11" spans="1:15"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11">
        <v>2699.97</v>
      </c>
    </row>
    <row r="12" spans="1:15"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11">
        <v>179.97</v>
      </c>
    </row>
    <row r="13" spans="1:15"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11">
        <v>149.99</v>
      </c>
    </row>
    <row r="14" spans="1:15"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11">
        <v>749.95</v>
      </c>
    </row>
    <row r="15" spans="1:15"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11">
        <v>449.97</v>
      </c>
    </row>
    <row r="16" spans="1:15"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11">
        <v>179.97</v>
      </c>
    </row>
    <row r="17" spans="1:14"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11">
        <v>2099.9699999999998</v>
      </c>
    </row>
    <row r="18" spans="1:14"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11">
        <v>899.99</v>
      </c>
    </row>
    <row r="19" spans="1:14"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11">
        <v>599.96</v>
      </c>
    </row>
    <row r="20" spans="1:14"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11">
        <v>1399.98</v>
      </c>
    </row>
    <row r="21" spans="1:14"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11">
        <v>3599.96</v>
      </c>
    </row>
    <row r="22" spans="1:14"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11">
        <v>749.97</v>
      </c>
    </row>
    <row r="23" spans="1:14"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11">
        <v>3499.95</v>
      </c>
    </row>
    <row r="24" spans="1:14"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11">
        <v>2799.96</v>
      </c>
    </row>
    <row r="25" spans="1:14"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11">
        <v>999.96</v>
      </c>
    </row>
    <row r="26" spans="1:14"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11">
        <v>1199.96</v>
      </c>
    </row>
    <row r="27" spans="1:14"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11">
        <v>1249.95</v>
      </c>
    </row>
    <row r="28" spans="1:14"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11">
        <v>1499.95</v>
      </c>
    </row>
    <row r="29" spans="1:14"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11">
        <v>239.97</v>
      </c>
    </row>
    <row r="30" spans="1:14"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11">
        <v>449.95</v>
      </c>
    </row>
    <row r="31" spans="1:14"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11">
        <v>119.98</v>
      </c>
    </row>
    <row r="32" spans="1:14"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11">
        <v>239.96</v>
      </c>
    </row>
    <row r="33" spans="1:14"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11">
        <v>999.95</v>
      </c>
    </row>
    <row r="34" spans="1:14"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11">
        <v>299.98</v>
      </c>
    </row>
    <row r="35" spans="1:14"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11">
        <v>449.97</v>
      </c>
    </row>
    <row r="36" spans="1:14"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11">
        <v>899.99</v>
      </c>
    </row>
    <row r="37" spans="1:14"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11">
        <v>899.97</v>
      </c>
    </row>
    <row r="38" spans="1:14"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11">
        <v>239.97</v>
      </c>
    </row>
    <row r="39" spans="1:14"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11">
        <v>599.97</v>
      </c>
    </row>
    <row r="40" spans="1:14"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11">
        <v>3499.95</v>
      </c>
    </row>
    <row r="41" spans="1:14"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11">
        <v>269.97000000000003</v>
      </c>
    </row>
    <row r="42" spans="1:14"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11">
        <v>79.989999999999995</v>
      </c>
    </row>
    <row r="43" spans="1:14"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11">
        <v>119.98</v>
      </c>
    </row>
    <row r="44" spans="1:14"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11">
        <v>89.99</v>
      </c>
    </row>
    <row r="45" spans="1:14"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11">
        <v>449.95</v>
      </c>
    </row>
    <row r="46" spans="1:14"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11">
        <v>1249.95</v>
      </c>
    </row>
    <row r="47" spans="1:14"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11">
        <v>89.99</v>
      </c>
    </row>
    <row r="48" spans="1:14"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11">
        <v>299.98</v>
      </c>
    </row>
    <row r="49" spans="1:14"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11">
        <v>239.96</v>
      </c>
    </row>
    <row r="50" spans="1:14"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11">
        <v>449.95</v>
      </c>
    </row>
    <row r="51" spans="1:14"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11">
        <v>179.98</v>
      </c>
    </row>
    <row r="52" spans="1:14"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11">
        <v>4499.95</v>
      </c>
    </row>
    <row r="53" spans="1:14"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11">
        <v>4499.95</v>
      </c>
    </row>
    <row r="54" spans="1:14"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11">
        <v>59.99</v>
      </c>
    </row>
    <row r="55" spans="1:14"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11">
        <v>599.98</v>
      </c>
    </row>
    <row r="56" spans="1:14"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11">
        <v>359.96</v>
      </c>
    </row>
    <row r="57" spans="1:14"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11">
        <v>79.989999999999995</v>
      </c>
    </row>
    <row r="58" spans="1:14"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11">
        <v>179.98</v>
      </c>
    </row>
    <row r="59" spans="1:14"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11">
        <v>2099.9699999999998</v>
      </c>
    </row>
    <row r="60" spans="1:14"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11">
        <v>3599.96</v>
      </c>
    </row>
    <row r="61" spans="1:14"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11">
        <v>149.99</v>
      </c>
    </row>
    <row r="62" spans="1:14"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11">
        <v>179.98</v>
      </c>
    </row>
    <row r="63" spans="1:14"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11">
        <v>89.99</v>
      </c>
    </row>
    <row r="64" spans="1:14"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11">
        <v>89.99</v>
      </c>
    </row>
    <row r="65" spans="1:14"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11">
        <v>399.95</v>
      </c>
    </row>
    <row r="66" spans="1:14"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11">
        <v>149.99</v>
      </c>
    </row>
    <row r="67" spans="1:14"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11">
        <v>1399.98</v>
      </c>
    </row>
    <row r="68" spans="1:14"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11">
        <v>449.95</v>
      </c>
    </row>
    <row r="69" spans="1:14"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11">
        <v>239.96</v>
      </c>
    </row>
    <row r="70" spans="1:14"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11">
        <v>149.99</v>
      </c>
    </row>
    <row r="71" spans="1:14"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11">
        <v>299.99</v>
      </c>
    </row>
    <row r="72" spans="1:14"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11">
        <v>399.98</v>
      </c>
    </row>
    <row r="73" spans="1:14"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11">
        <v>179.97</v>
      </c>
    </row>
    <row r="74" spans="1:14"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11">
        <v>449.97</v>
      </c>
    </row>
    <row r="75" spans="1:14"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11">
        <v>599.97</v>
      </c>
    </row>
    <row r="76" spans="1:14"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11">
        <v>899.99</v>
      </c>
    </row>
    <row r="77" spans="1:14"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11">
        <v>4499.95</v>
      </c>
    </row>
    <row r="78" spans="1:14"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11">
        <v>119.98</v>
      </c>
    </row>
    <row r="79" spans="1:14"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11">
        <v>999.96</v>
      </c>
    </row>
    <row r="80" spans="1:14"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11">
        <v>499.98</v>
      </c>
    </row>
    <row r="81" spans="1:14"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11">
        <v>299.99</v>
      </c>
    </row>
    <row r="82" spans="1:14"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11">
        <v>179.98</v>
      </c>
    </row>
    <row r="83" spans="1:14"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11">
        <v>899.97</v>
      </c>
    </row>
    <row r="84" spans="1:14"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11">
        <v>1399.98</v>
      </c>
    </row>
    <row r="85" spans="1:14"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11">
        <v>3599.96</v>
      </c>
    </row>
    <row r="86" spans="1:14"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11">
        <v>299.98</v>
      </c>
    </row>
    <row r="87" spans="1:14"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11">
        <v>299.98</v>
      </c>
    </row>
    <row r="88" spans="1:14"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11">
        <v>89.99</v>
      </c>
    </row>
    <row r="89" spans="1:14"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11">
        <v>1499.95</v>
      </c>
    </row>
    <row r="90" spans="1:14"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11">
        <v>599.96</v>
      </c>
    </row>
    <row r="91" spans="1:14"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11">
        <v>1249.95</v>
      </c>
    </row>
    <row r="92" spans="1:14"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11">
        <v>749.97</v>
      </c>
    </row>
    <row r="93" spans="1:14"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11">
        <v>799.96</v>
      </c>
    </row>
    <row r="94" spans="1:14"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11">
        <v>999.95</v>
      </c>
    </row>
    <row r="95" spans="1:14"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11">
        <v>179.98</v>
      </c>
    </row>
    <row r="96" spans="1:14"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11">
        <v>4499.95</v>
      </c>
    </row>
    <row r="97" spans="1:14"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11">
        <v>449.97</v>
      </c>
    </row>
    <row r="98" spans="1:14"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11">
        <v>749.95</v>
      </c>
    </row>
    <row r="99" spans="1:14"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11">
        <v>239.97</v>
      </c>
    </row>
    <row r="100" spans="1:14"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11">
        <v>499.98</v>
      </c>
    </row>
    <row r="101" spans="1:14"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11">
        <v>699.99</v>
      </c>
    </row>
    <row r="102" spans="1:14"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11">
        <v>449.97</v>
      </c>
    </row>
    <row r="103" spans="1:14"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11">
        <v>1399.98</v>
      </c>
    </row>
    <row r="104" spans="1:14"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11">
        <v>249.99</v>
      </c>
    </row>
    <row r="105" spans="1:14"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11">
        <v>249.99</v>
      </c>
    </row>
    <row r="106" spans="1:14"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11">
        <v>1399.98</v>
      </c>
    </row>
    <row r="107" spans="1:14"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11">
        <v>179.97</v>
      </c>
    </row>
    <row r="108" spans="1:14"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11">
        <v>179.97</v>
      </c>
    </row>
    <row r="109" spans="1:14"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11">
        <v>319.95999999999998</v>
      </c>
    </row>
    <row r="110" spans="1:14"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11">
        <v>79.989999999999995</v>
      </c>
    </row>
    <row r="111" spans="1:14"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11">
        <v>899.97</v>
      </c>
    </row>
    <row r="112" spans="1:14"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11">
        <v>179.98</v>
      </c>
    </row>
    <row r="113" spans="1:14"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11">
        <v>599.96</v>
      </c>
    </row>
    <row r="114" spans="1:14"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11">
        <v>499.98</v>
      </c>
    </row>
    <row r="115" spans="1:14"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11">
        <v>799.96</v>
      </c>
    </row>
    <row r="116" spans="1:14"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11">
        <v>449.95</v>
      </c>
    </row>
    <row r="117" spans="1:14"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11">
        <v>149.99</v>
      </c>
    </row>
    <row r="118" spans="1:14"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11">
        <v>2799.96</v>
      </c>
    </row>
    <row r="119" spans="1:14"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11">
        <v>2699.97</v>
      </c>
    </row>
    <row r="120" spans="1:14"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11">
        <v>449.97</v>
      </c>
    </row>
    <row r="121" spans="1:14"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11">
        <v>599.98</v>
      </c>
    </row>
    <row r="122" spans="1:14"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11">
        <v>199.99</v>
      </c>
    </row>
    <row r="123" spans="1:14"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11">
        <v>1199.96</v>
      </c>
    </row>
    <row r="124" spans="1:14"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11">
        <v>119.98</v>
      </c>
    </row>
    <row r="125" spans="1:14"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11">
        <v>599.96</v>
      </c>
    </row>
    <row r="126" spans="1:14"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11">
        <v>1399.98</v>
      </c>
    </row>
    <row r="127" spans="1:14"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11">
        <v>449.97</v>
      </c>
    </row>
    <row r="128" spans="1:14"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11">
        <v>899.97</v>
      </c>
    </row>
    <row r="129" spans="1:14"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11">
        <v>2699.97</v>
      </c>
    </row>
    <row r="130" spans="1:14"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11">
        <v>3499.95</v>
      </c>
    </row>
    <row r="131" spans="1:14"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11">
        <v>2799.96</v>
      </c>
    </row>
    <row r="132" spans="1:14"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11">
        <v>899.99</v>
      </c>
    </row>
    <row r="133" spans="1:14"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11">
        <v>299.98</v>
      </c>
    </row>
    <row r="134" spans="1:14"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11">
        <v>269.97000000000003</v>
      </c>
    </row>
    <row r="135" spans="1:14"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11">
        <v>299.98</v>
      </c>
    </row>
    <row r="136" spans="1:14"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11">
        <v>1399.98</v>
      </c>
    </row>
    <row r="137" spans="1:14"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11">
        <v>3499.95</v>
      </c>
    </row>
    <row r="138" spans="1:14"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11">
        <v>269.97000000000003</v>
      </c>
    </row>
    <row r="139" spans="1:14"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11">
        <v>1249.95</v>
      </c>
    </row>
    <row r="140" spans="1:14"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11">
        <v>899.97</v>
      </c>
    </row>
    <row r="141" spans="1:14"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11">
        <v>269.97000000000003</v>
      </c>
    </row>
    <row r="142" spans="1:14"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11">
        <v>299.98</v>
      </c>
    </row>
    <row r="143" spans="1:14"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11">
        <v>249.99</v>
      </c>
    </row>
    <row r="144" spans="1:14"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11">
        <v>449.97</v>
      </c>
    </row>
    <row r="145" spans="1:14"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11">
        <v>299.95</v>
      </c>
    </row>
    <row r="146" spans="1:14"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11">
        <v>999.96</v>
      </c>
    </row>
    <row r="147" spans="1:14"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11">
        <v>749.95</v>
      </c>
    </row>
    <row r="148" spans="1:14"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11">
        <v>179.97</v>
      </c>
    </row>
    <row r="149" spans="1:14"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11">
        <v>749.95</v>
      </c>
    </row>
    <row r="150" spans="1:14"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11">
        <v>1399.98</v>
      </c>
    </row>
    <row r="151" spans="1:14"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11">
        <v>799.96</v>
      </c>
    </row>
    <row r="152" spans="1:14"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11">
        <v>59.99</v>
      </c>
    </row>
    <row r="153" spans="1:14"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11">
        <v>2099.9699999999998</v>
      </c>
    </row>
    <row r="154" spans="1:14"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11">
        <v>1249.95</v>
      </c>
    </row>
    <row r="155" spans="1:14"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11">
        <v>299.98</v>
      </c>
    </row>
    <row r="156" spans="1:14"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11">
        <v>899.97</v>
      </c>
    </row>
    <row r="157" spans="1:14"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11">
        <v>1249.95</v>
      </c>
    </row>
    <row r="158" spans="1:14"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11">
        <v>299.98</v>
      </c>
    </row>
    <row r="159" spans="1:14"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11">
        <v>3499.95</v>
      </c>
    </row>
    <row r="160" spans="1:14"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11">
        <v>999.96</v>
      </c>
    </row>
    <row r="161" spans="1:14"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11">
        <v>2799.96</v>
      </c>
    </row>
    <row r="162" spans="1:14"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11">
        <v>499.98</v>
      </c>
    </row>
    <row r="163" spans="1:14"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11">
        <v>179.97</v>
      </c>
    </row>
    <row r="164" spans="1:14"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11">
        <v>319.95999999999998</v>
      </c>
    </row>
    <row r="165" spans="1:14"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11">
        <v>239.97</v>
      </c>
    </row>
    <row r="166" spans="1:14"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11">
        <v>1799.98</v>
      </c>
    </row>
    <row r="167" spans="1:14"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11">
        <v>149.99</v>
      </c>
    </row>
    <row r="168" spans="1:14"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11">
        <v>599.98</v>
      </c>
    </row>
    <row r="169" spans="1:14"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11">
        <v>119.98</v>
      </c>
    </row>
    <row r="170" spans="1:14"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11">
        <v>89.99</v>
      </c>
    </row>
    <row r="171" spans="1:14"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11">
        <v>4499.95</v>
      </c>
    </row>
    <row r="172" spans="1:14"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11">
        <v>299.98</v>
      </c>
    </row>
    <row r="173" spans="1:14"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11">
        <v>299.98</v>
      </c>
    </row>
    <row r="174" spans="1:14"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11">
        <v>449.97</v>
      </c>
    </row>
    <row r="175" spans="1:14"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11">
        <v>599.98</v>
      </c>
    </row>
    <row r="176" spans="1:14"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11">
        <v>599.98</v>
      </c>
    </row>
    <row r="177" spans="1:14"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11">
        <v>799.96</v>
      </c>
    </row>
    <row r="178" spans="1:14"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11">
        <v>89.99</v>
      </c>
    </row>
    <row r="179" spans="1:14"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11">
        <v>749.95</v>
      </c>
    </row>
    <row r="180" spans="1:14"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11">
        <v>899.99</v>
      </c>
    </row>
    <row r="181" spans="1:14"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11">
        <v>179.98</v>
      </c>
    </row>
    <row r="182" spans="1:14"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11">
        <v>899.99</v>
      </c>
    </row>
    <row r="183" spans="1:14"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11">
        <v>749.95</v>
      </c>
    </row>
    <row r="184" spans="1:14"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11">
        <v>899.97</v>
      </c>
    </row>
    <row r="185" spans="1:14"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11">
        <v>2099.9699999999998</v>
      </c>
    </row>
    <row r="186" spans="1:14"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11">
        <v>999.95</v>
      </c>
    </row>
    <row r="187" spans="1:14"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11">
        <v>1249.95</v>
      </c>
    </row>
    <row r="188" spans="1:14"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11">
        <v>599.96</v>
      </c>
    </row>
    <row r="189" spans="1:14"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11">
        <v>2099.9699999999998</v>
      </c>
    </row>
    <row r="190" spans="1:14"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11">
        <v>79.989999999999995</v>
      </c>
    </row>
    <row r="191" spans="1:14"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11">
        <v>299.99</v>
      </c>
    </row>
    <row r="192" spans="1:14"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11">
        <v>999.96</v>
      </c>
    </row>
    <row r="193" spans="1:14"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11">
        <v>299.98</v>
      </c>
    </row>
    <row r="194" spans="1:14"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11">
        <v>899.97</v>
      </c>
    </row>
    <row r="195" spans="1:14"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11">
        <v>799.96</v>
      </c>
    </row>
    <row r="196" spans="1:14"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11">
        <v>1499.95</v>
      </c>
    </row>
    <row r="197" spans="1:14"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11">
        <v>449.97</v>
      </c>
    </row>
    <row r="198" spans="1:14"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11">
        <v>299.95</v>
      </c>
    </row>
    <row r="199" spans="1:14"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11">
        <v>239.96</v>
      </c>
    </row>
    <row r="200" spans="1:14"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11">
        <v>999.96</v>
      </c>
    </row>
    <row r="201" spans="1:14"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11">
        <v>3599.96</v>
      </c>
    </row>
    <row r="202" spans="1:14"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11">
        <v>899.97</v>
      </c>
    </row>
    <row r="203" spans="1:14"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11">
        <v>1399.98</v>
      </c>
    </row>
    <row r="204" spans="1:14"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11">
        <v>2799.96</v>
      </c>
    </row>
    <row r="205" spans="1:14"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11">
        <v>179.98</v>
      </c>
    </row>
    <row r="206" spans="1:14"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11">
        <v>269.97000000000003</v>
      </c>
    </row>
    <row r="207" spans="1:14"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11">
        <v>59.99</v>
      </c>
    </row>
    <row r="208" spans="1:14"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11">
        <v>449.97</v>
      </c>
    </row>
    <row r="209" spans="1:14"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11">
        <v>1499.95</v>
      </c>
    </row>
    <row r="210" spans="1:14"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11">
        <v>299.95</v>
      </c>
    </row>
    <row r="211" spans="1:14"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11">
        <v>239.97</v>
      </c>
    </row>
    <row r="212" spans="1:14"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11">
        <v>599.97</v>
      </c>
    </row>
    <row r="213" spans="1:14"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11">
        <v>179.98</v>
      </c>
    </row>
    <row r="214" spans="1:14"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11">
        <v>299.98</v>
      </c>
    </row>
    <row r="215" spans="1:14"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11">
        <v>3499.95</v>
      </c>
    </row>
    <row r="216" spans="1:14"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11">
        <v>449.97</v>
      </c>
    </row>
    <row r="217" spans="1:14"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11">
        <v>2699.97</v>
      </c>
    </row>
    <row r="218" spans="1:14"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11">
        <v>599.97</v>
      </c>
    </row>
    <row r="219" spans="1:14"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11">
        <v>1499.95</v>
      </c>
    </row>
    <row r="220" spans="1:14"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11">
        <v>699.99</v>
      </c>
    </row>
    <row r="221" spans="1:14"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11">
        <v>699.99</v>
      </c>
    </row>
    <row r="222" spans="1:14"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11">
        <v>599.96</v>
      </c>
    </row>
    <row r="223" spans="1:14"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11">
        <v>449.95</v>
      </c>
    </row>
    <row r="224" spans="1:14"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11">
        <v>399.98</v>
      </c>
    </row>
    <row r="225" spans="1:14"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11">
        <v>239.96</v>
      </c>
    </row>
    <row r="226" spans="1:14"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11">
        <v>599.98</v>
      </c>
    </row>
    <row r="227" spans="1:14"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11">
        <v>299.98</v>
      </c>
    </row>
    <row r="228" spans="1:14"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11">
        <v>3499.95</v>
      </c>
    </row>
    <row r="229" spans="1:14"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11">
        <v>299.95</v>
      </c>
    </row>
    <row r="230" spans="1:14"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11">
        <v>179.98</v>
      </c>
    </row>
    <row r="231" spans="1:14"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11">
        <v>1249.95</v>
      </c>
    </row>
    <row r="232" spans="1:14"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11">
        <v>299.98</v>
      </c>
    </row>
    <row r="233" spans="1:14"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11">
        <v>4499.95</v>
      </c>
    </row>
    <row r="234" spans="1:14"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11">
        <v>599.96</v>
      </c>
    </row>
    <row r="235" spans="1:14"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11">
        <v>249.99</v>
      </c>
    </row>
    <row r="236" spans="1:14"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11">
        <v>119.98</v>
      </c>
    </row>
    <row r="237" spans="1:14"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11">
        <v>299.98</v>
      </c>
    </row>
    <row r="238" spans="1:14"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11">
        <v>2699.97</v>
      </c>
    </row>
    <row r="239" spans="1:14"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11">
        <v>2699.97</v>
      </c>
    </row>
    <row r="240" spans="1:14"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11">
        <v>899.97</v>
      </c>
    </row>
    <row r="241" spans="1:14"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11">
        <v>599.96</v>
      </c>
    </row>
    <row r="242" spans="1:14"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11">
        <v>319.95999999999998</v>
      </c>
    </row>
    <row r="243" spans="1:14"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11">
        <v>449.95</v>
      </c>
    </row>
    <row r="244" spans="1:14"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11">
        <v>449.97</v>
      </c>
    </row>
    <row r="245" spans="1:14"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11">
        <v>179.98</v>
      </c>
    </row>
    <row r="246" spans="1:14"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11">
        <v>1399.98</v>
      </c>
    </row>
    <row r="247" spans="1:14"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11">
        <v>2699.97</v>
      </c>
    </row>
    <row r="248" spans="1:14"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11">
        <v>239.97</v>
      </c>
    </row>
    <row r="249" spans="1:14"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11">
        <v>89.99</v>
      </c>
    </row>
    <row r="250" spans="1:14"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11">
        <v>2099.9699999999998</v>
      </c>
    </row>
    <row r="251" spans="1:14"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11">
        <v>179.98</v>
      </c>
    </row>
    <row r="252" spans="1:14"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11">
        <v>269.97000000000003</v>
      </c>
    </row>
  </sheetData>
  <conditionalFormatting sqref="N3:N252">
    <cfRule type="iconSet" priority="1">
      <iconSet iconSet="3Arrows">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8ACE-8740-441C-BD9C-74E6CD858177}">
  <dimension ref="A1:P252"/>
  <sheetViews>
    <sheetView workbookViewId="0">
      <selection activeCell="U8" sqref="U8"/>
    </sheetView>
  </sheetViews>
  <sheetFormatPr defaultRowHeight="14.4"/>
  <cols>
    <col min="2" max="2" width="10.33203125" bestFit="1" customWidth="1"/>
    <col min="13" max="13" width="10.33203125" bestFit="1" customWidth="1"/>
    <col min="15" max="15" width="15.44140625" bestFit="1" customWidth="1"/>
  </cols>
  <sheetData>
    <row r="1" spans="1:16" ht="15" thickBot="1">
      <c r="A1" t="s">
        <v>408</v>
      </c>
    </row>
    <row r="2" spans="1:16"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14" t="s">
        <v>409</v>
      </c>
    </row>
    <row r="3" spans="1:16"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O3" s="15">
        <v>46116</v>
      </c>
      <c r="P3" t="s">
        <v>410</v>
      </c>
    </row>
    <row r="4" spans="1:16"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s="16">
        <f ca="1">NOW()</f>
        <v>46116.588735879632</v>
      </c>
    </row>
    <row r="5" spans="1:16" ht="29.4" thickBot="1">
      <c r="A5" s="1" t="s">
        <v>28</v>
      </c>
      <c r="B5" s="4">
        <v>45399</v>
      </c>
      <c r="C5" s="1" t="s">
        <v>29</v>
      </c>
      <c r="D5" s="1" t="s">
        <v>30</v>
      </c>
      <c r="E5" s="1" t="s">
        <v>31</v>
      </c>
      <c r="F5" s="1" t="s">
        <v>32</v>
      </c>
      <c r="G5" s="1" t="s">
        <v>33</v>
      </c>
      <c r="H5" s="5">
        <v>3</v>
      </c>
      <c r="I5" s="5">
        <v>59.99</v>
      </c>
      <c r="J5" s="1" t="s">
        <v>34</v>
      </c>
      <c r="K5" s="1" t="s">
        <v>35</v>
      </c>
      <c r="L5" s="1" t="s">
        <v>36</v>
      </c>
      <c r="M5" s="4">
        <v>45262</v>
      </c>
      <c r="N5" s="5">
        <v>179.97</v>
      </c>
    </row>
    <row r="6" spans="1:16" ht="29.4" thickBot="1">
      <c r="A6" s="1" t="s">
        <v>37</v>
      </c>
      <c r="B6" s="4">
        <v>45400</v>
      </c>
      <c r="C6" s="1" t="s">
        <v>38</v>
      </c>
      <c r="D6" s="1" t="s">
        <v>39</v>
      </c>
      <c r="E6" s="1" t="s">
        <v>31</v>
      </c>
      <c r="F6" s="1" t="s">
        <v>32</v>
      </c>
      <c r="G6" s="1" t="s">
        <v>33</v>
      </c>
      <c r="H6" s="5">
        <v>3</v>
      </c>
      <c r="I6" s="5">
        <v>59.99</v>
      </c>
      <c r="J6" s="1" t="s">
        <v>20</v>
      </c>
      <c r="K6" s="1" t="s">
        <v>40</v>
      </c>
      <c r="L6" s="1" t="s">
        <v>27</v>
      </c>
      <c r="M6" s="4">
        <v>45114</v>
      </c>
      <c r="N6" s="5">
        <v>179.97</v>
      </c>
    </row>
    <row r="7" spans="1:16" ht="29.4" thickBot="1">
      <c r="A7" s="1" t="s">
        <v>41</v>
      </c>
      <c r="B7" s="4">
        <v>45400</v>
      </c>
      <c r="C7" s="1" t="s">
        <v>42</v>
      </c>
      <c r="D7" s="1" t="s">
        <v>43</v>
      </c>
      <c r="E7" s="1" t="s">
        <v>44</v>
      </c>
      <c r="F7" s="1" t="s">
        <v>45</v>
      </c>
      <c r="G7" s="1" t="s">
        <v>46</v>
      </c>
      <c r="H7" s="5">
        <v>5</v>
      </c>
      <c r="I7" s="5">
        <v>149.99</v>
      </c>
      <c r="J7" s="1" t="s">
        <v>26</v>
      </c>
      <c r="K7" s="1" t="s">
        <v>40</v>
      </c>
      <c r="L7" s="1" t="s">
        <v>27</v>
      </c>
      <c r="M7" s="4">
        <v>45295</v>
      </c>
      <c r="N7" s="5">
        <v>749.95</v>
      </c>
    </row>
    <row r="8" spans="1:16" ht="29.4" thickBot="1">
      <c r="A8" s="1" t="s">
        <v>47</v>
      </c>
      <c r="B8" s="4">
        <v>45403</v>
      </c>
      <c r="C8" s="1" t="s">
        <v>48</v>
      </c>
      <c r="D8" s="1" t="s">
        <v>49</v>
      </c>
      <c r="E8" s="1" t="s">
        <v>31</v>
      </c>
      <c r="F8" s="1" t="s">
        <v>32</v>
      </c>
      <c r="G8" s="1" t="s">
        <v>33</v>
      </c>
      <c r="H8" s="5">
        <v>2</v>
      </c>
      <c r="I8" s="5">
        <v>59.99</v>
      </c>
      <c r="J8" s="1" t="s">
        <v>20</v>
      </c>
      <c r="K8" s="1" t="s">
        <v>50</v>
      </c>
      <c r="L8" s="1" t="s">
        <v>36</v>
      </c>
      <c r="M8" s="4">
        <v>44746</v>
      </c>
      <c r="N8" s="5">
        <v>119.98</v>
      </c>
    </row>
    <row r="9" spans="1:16" ht="29.4" thickBot="1">
      <c r="A9" s="1" t="s">
        <v>51</v>
      </c>
      <c r="B9" s="4">
        <v>45403</v>
      </c>
      <c r="C9" s="1" t="s">
        <v>48</v>
      </c>
      <c r="D9" s="1" t="s">
        <v>49</v>
      </c>
      <c r="E9" s="1" t="s">
        <v>52</v>
      </c>
      <c r="F9" s="1" t="s">
        <v>53</v>
      </c>
      <c r="G9" s="1" t="s">
        <v>19</v>
      </c>
      <c r="H9" s="5">
        <v>5</v>
      </c>
      <c r="I9" s="5">
        <v>149.99</v>
      </c>
      <c r="J9" s="1" t="s">
        <v>26</v>
      </c>
      <c r="K9" s="1" t="s">
        <v>21</v>
      </c>
      <c r="L9" s="1" t="s">
        <v>36</v>
      </c>
      <c r="M9" s="4">
        <v>44418</v>
      </c>
      <c r="N9" s="5">
        <v>749.95</v>
      </c>
    </row>
    <row r="10" spans="1:16"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row>
    <row r="11" spans="1:16"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row>
    <row r="12" spans="1:16"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row>
    <row r="13" spans="1:16"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row>
    <row r="14" spans="1:16"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row>
    <row r="15" spans="1:16"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row>
    <row r="16" spans="1:16"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row>
    <row r="17" spans="1:14"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row>
    <row r="18" spans="1:14"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row>
    <row r="19" spans="1:14"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row>
    <row r="20" spans="1:14"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row>
    <row r="21" spans="1:14"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row>
    <row r="22" spans="1:14"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row>
    <row r="23" spans="1:14"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row>
    <row r="24" spans="1:14"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row>
    <row r="25" spans="1:14"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row>
    <row r="26" spans="1:14"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row>
    <row r="27" spans="1:14"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row>
    <row r="28" spans="1:14"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row>
    <row r="29" spans="1:14"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row>
    <row r="30" spans="1:14"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row>
    <row r="31" spans="1:14"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row>
    <row r="32" spans="1:14"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row>
    <row r="33" spans="1:14"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row>
    <row r="34" spans="1:14"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row>
    <row r="35" spans="1:14"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row>
    <row r="36" spans="1:14"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row>
    <row r="37" spans="1:14"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row>
    <row r="38" spans="1:14"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row>
    <row r="39" spans="1:14"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row>
    <row r="40" spans="1:14"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row>
    <row r="41" spans="1:14"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row>
    <row r="42" spans="1:14"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row>
    <row r="43" spans="1:14"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row>
    <row r="44" spans="1:14"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row>
    <row r="45" spans="1:14"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row>
    <row r="46" spans="1:14"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row>
    <row r="47" spans="1:14"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row>
    <row r="48" spans="1:14"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row>
    <row r="49" spans="1:14"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row>
    <row r="50" spans="1:14"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row>
    <row r="51" spans="1:14"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row>
    <row r="52" spans="1:14"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row>
    <row r="53" spans="1:14"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row>
    <row r="54" spans="1:14"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row>
    <row r="55" spans="1:14"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row>
    <row r="56" spans="1:14"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row>
    <row r="57" spans="1:14"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row>
    <row r="58" spans="1:14"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row>
    <row r="59" spans="1:14"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row>
    <row r="60" spans="1:14"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row>
    <row r="61" spans="1:14"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row>
    <row r="62" spans="1:14"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row>
    <row r="63" spans="1:14"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row>
    <row r="64" spans="1:14"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row>
    <row r="65" spans="1:14"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row>
    <row r="66" spans="1:14"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row>
    <row r="67" spans="1:14"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row>
    <row r="68" spans="1:14"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row>
    <row r="69" spans="1:14"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row>
    <row r="70" spans="1:14"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row>
    <row r="71" spans="1:14"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row>
    <row r="72" spans="1:14"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row>
    <row r="73" spans="1:14"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row>
    <row r="74" spans="1:14"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row>
    <row r="75" spans="1:14"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row>
    <row r="76" spans="1:14"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row>
    <row r="77" spans="1:14"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row>
    <row r="78" spans="1:14"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row>
    <row r="79" spans="1:14"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row>
    <row r="80" spans="1:14"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row>
    <row r="81" spans="1:14"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row>
    <row r="82" spans="1:14"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row>
    <row r="83" spans="1:14"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row>
    <row r="84" spans="1:14"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row>
    <row r="85" spans="1:14"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row>
    <row r="86" spans="1:14"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row>
    <row r="87" spans="1:14"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row>
    <row r="88" spans="1:14"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row>
    <row r="89" spans="1:14"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row>
    <row r="90" spans="1:14"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row>
    <row r="91" spans="1:14"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row>
    <row r="92" spans="1:14"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row>
    <row r="93" spans="1:14"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row>
    <row r="94" spans="1:14"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row>
    <row r="95" spans="1:14"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row>
    <row r="96" spans="1:14"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row>
    <row r="97" spans="1:14"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row>
    <row r="98" spans="1:14"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row>
    <row r="99" spans="1:14"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row>
    <row r="100" spans="1:14"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row>
    <row r="101" spans="1:14"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row>
    <row r="102" spans="1:14"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row>
    <row r="103" spans="1:14"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row>
    <row r="104" spans="1:14"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row>
    <row r="105" spans="1:14"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row>
    <row r="106" spans="1:14"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row>
    <row r="107" spans="1:14"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row>
    <row r="108" spans="1:14"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row>
    <row r="109" spans="1:14"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row>
    <row r="110" spans="1:14"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row>
    <row r="111" spans="1:14"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row>
    <row r="112" spans="1:14"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row>
    <row r="113" spans="1:14"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row>
    <row r="114" spans="1:14"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row>
    <row r="115" spans="1:14"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row>
    <row r="116" spans="1:14"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row>
    <row r="117" spans="1:14"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row>
    <row r="118" spans="1:14"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row>
    <row r="119" spans="1:14"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row>
    <row r="120" spans="1:14"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row>
    <row r="121" spans="1:14"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row>
    <row r="122" spans="1:14"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row>
    <row r="123" spans="1:14"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row>
    <row r="124" spans="1:14"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row>
    <row r="125" spans="1:14"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row>
    <row r="126" spans="1:14"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row>
    <row r="127" spans="1:14"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row>
    <row r="128" spans="1:14"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row>
    <row r="129" spans="1:14"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row>
    <row r="130" spans="1:14"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row>
    <row r="131" spans="1:14"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row>
    <row r="132" spans="1:14"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row>
    <row r="133" spans="1:14"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row>
    <row r="134" spans="1:14"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row>
    <row r="135" spans="1:14"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row>
    <row r="136" spans="1:14"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row>
    <row r="137" spans="1:14"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row>
    <row r="138" spans="1:14"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row>
    <row r="139" spans="1:14"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row>
    <row r="140" spans="1:14"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row>
    <row r="141" spans="1:14"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row>
    <row r="142" spans="1:14"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row>
    <row r="143" spans="1:14"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row>
    <row r="144" spans="1:14"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row>
    <row r="145" spans="1:14"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row>
    <row r="146" spans="1:14"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row>
    <row r="147" spans="1:14"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row>
    <row r="148" spans="1:14"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row>
    <row r="149" spans="1:14"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row>
    <row r="150" spans="1:14"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row>
    <row r="151" spans="1:14"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row>
    <row r="152" spans="1:14"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row>
    <row r="153" spans="1:14"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row>
    <row r="154" spans="1:14"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row>
    <row r="155" spans="1:14"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row>
    <row r="156" spans="1:14"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row>
    <row r="157" spans="1:14"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row>
    <row r="158" spans="1:14"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row>
    <row r="159" spans="1:14"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row>
    <row r="160" spans="1:14"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row>
    <row r="161" spans="1:14"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row>
    <row r="162" spans="1:14"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row>
    <row r="163" spans="1:14"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row>
    <row r="164" spans="1:14"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row>
    <row r="165" spans="1:14"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row>
    <row r="166" spans="1:14"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row>
    <row r="167" spans="1:14"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row>
    <row r="168" spans="1:14"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row>
    <row r="169" spans="1:14"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row>
    <row r="170" spans="1:14"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row>
    <row r="171" spans="1:14"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row>
    <row r="172" spans="1:14"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row>
    <row r="173" spans="1:14"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row>
    <row r="174" spans="1:14"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row>
    <row r="175" spans="1:14"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row>
    <row r="176" spans="1:14"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row>
    <row r="177" spans="1:14"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row>
    <row r="178" spans="1:14"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row>
    <row r="179" spans="1:14"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row>
    <row r="180" spans="1:14"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row>
    <row r="181" spans="1:14"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row>
    <row r="182" spans="1:14"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row>
    <row r="183" spans="1:14"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row>
    <row r="184" spans="1:14"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row>
    <row r="185" spans="1:14"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row>
    <row r="186" spans="1:14"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row>
    <row r="187" spans="1:14"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row>
    <row r="188" spans="1:14"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row>
    <row r="189" spans="1:14"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row>
    <row r="190" spans="1:14"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row>
    <row r="191" spans="1:14"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row>
    <row r="192" spans="1:14"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row>
    <row r="193" spans="1:14"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row>
    <row r="194" spans="1:14"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row>
    <row r="195" spans="1:14"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row>
    <row r="196" spans="1:14"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row>
    <row r="197" spans="1:14"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row>
    <row r="198" spans="1:14"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row>
    <row r="199" spans="1:14"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row>
    <row r="200" spans="1:14"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row>
    <row r="201" spans="1:14"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row>
    <row r="202" spans="1:14"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row>
    <row r="203" spans="1:14"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row>
    <row r="204" spans="1:14"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row>
    <row r="205" spans="1:14"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row>
    <row r="206" spans="1:14"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row>
    <row r="207" spans="1:14"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row>
    <row r="208" spans="1:14"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row>
    <row r="209" spans="1:14"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row>
    <row r="210" spans="1:14"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row>
    <row r="211" spans="1:14"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row>
    <row r="212" spans="1:14"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row>
    <row r="213" spans="1:14"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row>
    <row r="214" spans="1:14"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row>
    <row r="215" spans="1:14"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row>
    <row r="216" spans="1:14"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row>
    <row r="217" spans="1:14"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row>
    <row r="218" spans="1:14"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row>
    <row r="219" spans="1:14"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row>
    <row r="220" spans="1:14"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row>
    <row r="221" spans="1:14"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row>
    <row r="222" spans="1:14"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row>
    <row r="223" spans="1:14"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row>
    <row r="224" spans="1:14"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row>
    <row r="225" spans="1:14"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row>
    <row r="226" spans="1:14"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row>
    <row r="227" spans="1:14"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row>
    <row r="228" spans="1:14"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row>
    <row r="229" spans="1:14"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row>
    <row r="230" spans="1:14"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row>
    <row r="231" spans="1:14"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row>
    <row r="232" spans="1:14"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row>
    <row r="233" spans="1:14"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row>
    <row r="234" spans="1:14"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row>
    <row r="235" spans="1:14"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row>
    <row r="236" spans="1:14"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row>
    <row r="237" spans="1:14"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row>
    <row r="238" spans="1:14"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row>
    <row r="239" spans="1:14"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row>
    <row r="240" spans="1:14"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row>
    <row r="241" spans="1:14"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row>
    <row r="242" spans="1:14"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row>
    <row r="243" spans="1:14"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row>
    <row r="244" spans="1:14"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row>
    <row r="245" spans="1:14"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row>
    <row r="246" spans="1:14"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row>
    <row r="247" spans="1:14"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row>
    <row r="248" spans="1:14"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row>
    <row r="249" spans="1:14"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row>
    <row r="250" spans="1:14"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row>
    <row r="251" spans="1:14"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row>
    <row r="252" spans="1:14"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7DDD-DF1C-43F3-8894-260309516C95}">
  <sheetPr>
    <outlinePr summaryBelow="0"/>
  </sheetPr>
  <dimension ref="B1:F19"/>
  <sheetViews>
    <sheetView showGridLines="0" workbookViewId="0"/>
  </sheetViews>
  <sheetFormatPr defaultRowHeight="14.4" outlineLevelRow="1" outlineLevelCol="1"/>
  <cols>
    <col min="3" max="3" width="5.33203125" bestFit="1" customWidth="1"/>
    <col min="4" max="6" width="13.109375" bestFit="1" customWidth="1" outlineLevel="1"/>
  </cols>
  <sheetData>
    <row r="1" spans="2:6" ht="15" thickBot="1"/>
    <row r="2" spans="2:6" ht="15.6">
      <c r="B2" s="21" t="s">
        <v>431</v>
      </c>
      <c r="C2" s="21"/>
      <c r="D2" s="25"/>
      <c r="E2" s="25"/>
      <c r="F2" s="25"/>
    </row>
    <row r="3" spans="2:6" ht="15.6" collapsed="1">
      <c r="B3" s="20"/>
      <c r="C3" s="20"/>
      <c r="D3" s="26" t="s">
        <v>433</v>
      </c>
      <c r="E3" s="26" t="s">
        <v>427</v>
      </c>
      <c r="F3" s="26" t="s">
        <v>429</v>
      </c>
    </row>
    <row r="4" spans="2:6" ht="20.399999999999999" hidden="1" outlineLevel="1">
      <c r="B4" s="23"/>
      <c r="C4" s="23"/>
      <c r="D4" s="18"/>
      <c r="E4" s="31" t="s">
        <v>428</v>
      </c>
      <c r="F4" s="31" t="s">
        <v>428</v>
      </c>
    </row>
    <row r="5" spans="2:6">
      <c r="B5" s="24" t="s">
        <v>432</v>
      </c>
      <c r="C5" s="24"/>
      <c r="D5" s="22"/>
      <c r="E5" s="22"/>
      <c r="F5" s="22"/>
    </row>
    <row r="6" spans="2:6" outlineLevel="1">
      <c r="B6" s="23"/>
      <c r="C6" s="23" t="s">
        <v>417</v>
      </c>
      <c r="D6" s="18" t="s">
        <v>7</v>
      </c>
      <c r="E6" s="29" t="s">
        <v>7</v>
      </c>
      <c r="F6" s="29" t="s">
        <v>430</v>
      </c>
    </row>
    <row r="7" spans="2:6" outlineLevel="1">
      <c r="B7" s="23"/>
      <c r="C7" s="23" t="s">
        <v>418</v>
      </c>
      <c r="D7" s="18">
        <v>753</v>
      </c>
      <c r="E7" s="29">
        <v>753</v>
      </c>
      <c r="F7" s="29">
        <v>753</v>
      </c>
    </row>
    <row r="8" spans="2:6" outlineLevel="1">
      <c r="B8" s="23"/>
      <c r="C8" s="23" t="s">
        <v>419</v>
      </c>
      <c r="D8" s="18" t="s">
        <v>412</v>
      </c>
      <c r="E8" s="29" t="s">
        <v>412</v>
      </c>
      <c r="F8" s="29" t="s">
        <v>412</v>
      </c>
    </row>
    <row r="9" spans="2:6" outlineLevel="1">
      <c r="B9" s="23"/>
      <c r="C9" s="23" t="s">
        <v>420</v>
      </c>
      <c r="D9" s="18">
        <v>250</v>
      </c>
      <c r="E9" s="29">
        <v>250</v>
      </c>
      <c r="F9" s="29">
        <v>300</v>
      </c>
    </row>
    <row r="10" spans="2:6" outlineLevel="1">
      <c r="B10" s="23"/>
      <c r="C10" s="23" t="s">
        <v>421</v>
      </c>
      <c r="D10" s="18" t="s">
        <v>414</v>
      </c>
      <c r="E10" s="29" t="s">
        <v>414</v>
      </c>
      <c r="F10" s="29" t="s">
        <v>414</v>
      </c>
    </row>
    <row r="11" spans="2:6" outlineLevel="1">
      <c r="B11" s="23"/>
      <c r="C11" s="23" t="s">
        <v>422</v>
      </c>
      <c r="D11" s="19">
        <v>0.05</v>
      </c>
      <c r="E11" s="30">
        <v>0.05</v>
      </c>
      <c r="F11" s="30">
        <v>0.05</v>
      </c>
    </row>
    <row r="12" spans="2:6" outlineLevel="1">
      <c r="B12" s="23"/>
      <c r="C12" s="23" t="s">
        <v>423</v>
      </c>
      <c r="D12" s="18" t="s">
        <v>415</v>
      </c>
      <c r="E12" s="29" t="s">
        <v>415</v>
      </c>
      <c r="F12" s="29" t="s">
        <v>415</v>
      </c>
    </row>
    <row r="13" spans="2:6" outlineLevel="1">
      <c r="B13" s="23"/>
      <c r="C13" s="23" t="s">
        <v>424</v>
      </c>
      <c r="D13" s="18">
        <v>115600</v>
      </c>
      <c r="E13" s="29">
        <v>115600</v>
      </c>
      <c r="F13" s="29">
        <v>115600</v>
      </c>
    </row>
    <row r="14" spans="2:6" outlineLevel="1">
      <c r="B14" s="23"/>
      <c r="C14" s="23" t="s">
        <v>425</v>
      </c>
      <c r="D14" s="18" t="s">
        <v>416</v>
      </c>
      <c r="E14" s="29" t="s">
        <v>416</v>
      </c>
      <c r="F14" s="29" t="s">
        <v>416</v>
      </c>
    </row>
    <row r="15" spans="2:6" outlineLevel="1">
      <c r="B15" s="23"/>
      <c r="C15" s="23" t="s">
        <v>426</v>
      </c>
      <c r="D15" s="18">
        <v>99005</v>
      </c>
      <c r="E15" s="29">
        <v>99005</v>
      </c>
      <c r="F15" s="29">
        <v>99005</v>
      </c>
    </row>
    <row r="16" spans="2:6" ht="15" thickBot="1">
      <c r="B16" s="27"/>
      <c r="C16" s="27"/>
      <c r="D16" s="28"/>
      <c r="E16" s="28"/>
      <c r="F16" s="28"/>
    </row>
    <row r="17" spans="2:2">
      <c r="B17" t="s">
        <v>434</v>
      </c>
    </row>
    <row r="18" spans="2:2">
      <c r="B18" t="s">
        <v>435</v>
      </c>
    </row>
    <row r="19" spans="2:2">
      <c r="B19" t="s">
        <v>436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6EC6-08E0-4A8C-8028-CF60EC48F1FD}">
  <dimension ref="A1:R252"/>
  <sheetViews>
    <sheetView workbookViewId="0">
      <selection activeCell="P3" sqref="P3:Q7"/>
    </sheetView>
  </sheetViews>
  <sheetFormatPr defaultRowHeight="14.4"/>
  <cols>
    <col min="2" max="2" width="10.33203125" bestFit="1" customWidth="1"/>
    <col min="13" max="13" width="10.33203125" bestFit="1" customWidth="1"/>
  </cols>
  <sheetData>
    <row r="1" spans="1:18" ht="15" thickBot="1">
      <c r="A1" t="s">
        <v>411</v>
      </c>
    </row>
    <row r="2" spans="1:18" ht="43.8" thickBot="1">
      <c r="A2" s="2" t="s">
        <v>0</v>
      </c>
      <c r="B2" s="2" t="s">
        <v>1</v>
      </c>
      <c r="C2" s="2" t="s">
        <v>2</v>
      </c>
      <c r="D2" s="2" t="s">
        <v>3</v>
      </c>
      <c r="E2" s="2" t="s">
        <v>4</v>
      </c>
      <c r="F2" s="2" t="s">
        <v>5</v>
      </c>
      <c r="G2" s="2" t="s">
        <v>6</v>
      </c>
      <c r="H2" s="2" t="s">
        <v>7</v>
      </c>
      <c r="I2" s="2" t="s">
        <v>8</v>
      </c>
      <c r="J2" s="2" t="s">
        <v>9</v>
      </c>
      <c r="K2" s="2" t="s">
        <v>10</v>
      </c>
      <c r="L2" s="2" t="s">
        <v>11</v>
      </c>
      <c r="M2" s="2" t="s">
        <v>12</v>
      </c>
      <c r="N2" s="2" t="s">
        <v>13</v>
      </c>
    </row>
    <row r="3" spans="1:18"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P3" t="s">
        <v>7</v>
      </c>
      <c r="Q3">
        <v>753</v>
      </c>
    </row>
    <row r="4" spans="1:18"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P4" t="s">
        <v>412</v>
      </c>
      <c r="Q4">
        <v>250</v>
      </c>
      <c r="R4" t="s">
        <v>413</v>
      </c>
    </row>
    <row r="5" spans="1:18"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P5" t="s">
        <v>414</v>
      </c>
      <c r="Q5" s="17">
        <v>0.05</v>
      </c>
    </row>
    <row r="6" spans="1:18"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P6" t="s">
        <v>415</v>
      </c>
      <c r="Q6">
        <v>115600</v>
      </c>
    </row>
    <row r="7" spans="1:18"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P7" t="s">
        <v>416</v>
      </c>
      <c r="Q7">
        <v>99005</v>
      </c>
    </row>
    <row r="8" spans="1:18" ht="29.4" thickBot="1">
      <c r="A8" s="1" t="s">
        <v>47</v>
      </c>
      <c r="B8" s="4">
        <v>45403</v>
      </c>
      <c r="C8" s="1" t="s">
        <v>48</v>
      </c>
      <c r="D8" s="1" t="s">
        <v>49</v>
      </c>
      <c r="E8" s="1" t="s">
        <v>31</v>
      </c>
      <c r="F8" s="1" t="s">
        <v>32</v>
      </c>
      <c r="G8" s="1" t="s">
        <v>33</v>
      </c>
      <c r="H8" s="5">
        <v>2</v>
      </c>
      <c r="I8" s="5">
        <v>59.99</v>
      </c>
      <c r="J8" s="1" t="s">
        <v>20</v>
      </c>
      <c r="K8" s="1" t="s">
        <v>50</v>
      </c>
      <c r="L8" s="1" t="s">
        <v>36</v>
      </c>
      <c r="M8" s="4">
        <v>44746</v>
      </c>
      <c r="N8" s="5">
        <v>119.98</v>
      </c>
    </row>
    <row r="9" spans="1:18" ht="29.4" thickBot="1">
      <c r="A9" s="1" t="s">
        <v>51</v>
      </c>
      <c r="B9" s="4">
        <v>45403</v>
      </c>
      <c r="C9" s="1" t="s">
        <v>48</v>
      </c>
      <c r="D9" s="1" t="s">
        <v>49</v>
      </c>
      <c r="E9" s="1" t="s">
        <v>52</v>
      </c>
      <c r="F9" s="1" t="s">
        <v>53</v>
      </c>
      <c r="G9" s="1" t="s">
        <v>19</v>
      </c>
      <c r="H9" s="5">
        <v>5</v>
      </c>
      <c r="I9" s="5">
        <v>149.99</v>
      </c>
      <c r="J9" s="1" t="s">
        <v>26</v>
      </c>
      <c r="K9" s="1" t="s">
        <v>21</v>
      </c>
      <c r="L9" s="1" t="s">
        <v>36</v>
      </c>
      <c r="M9" s="4">
        <v>44418</v>
      </c>
      <c r="N9" s="5">
        <v>749.95</v>
      </c>
    </row>
    <row r="10" spans="1:18"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row>
    <row r="11" spans="1:18"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row>
    <row r="12" spans="1:18"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row>
    <row r="13" spans="1:18"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row>
    <row r="14" spans="1:18"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row>
    <row r="15" spans="1:18"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row>
    <row r="16" spans="1:18"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row>
    <row r="17" spans="1:14"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row>
    <row r="18" spans="1:14"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row>
    <row r="19" spans="1:14"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row>
    <row r="20" spans="1:14"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row>
    <row r="21" spans="1:14"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row>
    <row r="22" spans="1:14"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row>
    <row r="23" spans="1:14"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row>
    <row r="24" spans="1:14"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row>
    <row r="25" spans="1:14"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row>
    <row r="26" spans="1:14"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row>
    <row r="27" spans="1:14"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row>
    <row r="28" spans="1:14"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row>
    <row r="29" spans="1:14"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row>
    <row r="30" spans="1:14"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row>
    <row r="31" spans="1:14"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row>
    <row r="32" spans="1:14"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row>
    <row r="33" spans="1:14"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row>
    <row r="34" spans="1:14"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row>
    <row r="35" spans="1:14"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row>
    <row r="36" spans="1:14"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row>
    <row r="37" spans="1:14"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row>
    <row r="38" spans="1:14"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row>
    <row r="39" spans="1:14"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row>
    <row r="40" spans="1:14"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row>
    <row r="41" spans="1:14"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row>
    <row r="42" spans="1:14"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row>
    <row r="43" spans="1:14"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row>
    <row r="44" spans="1:14"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row>
    <row r="45" spans="1:14"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row>
    <row r="46" spans="1:14"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row>
    <row r="47" spans="1:14"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row>
    <row r="48" spans="1:14"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row>
    <row r="49" spans="1:14"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row>
    <row r="50" spans="1:14"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row>
    <row r="51" spans="1:14"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row>
    <row r="52" spans="1:14"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row>
    <row r="53" spans="1:14"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row>
    <row r="54" spans="1:14"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row>
    <row r="55" spans="1:14"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row>
    <row r="56" spans="1:14"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row>
    <row r="57" spans="1:14"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row>
    <row r="58" spans="1:14"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row>
    <row r="59" spans="1:14"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row>
    <row r="60" spans="1:14"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row>
    <row r="61" spans="1:14"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row>
    <row r="62" spans="1:14"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row>
    <row r="63" spans="1:14"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row>
    <row r="64" spans="1:14"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row>
    <row r="65" spans="1:14"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row>
    <row r="66" spans="1:14"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row>
    <row r="67" spans="1:14"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row>
    <row r="68" spans="1:14"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row>
    <row r="69" spans="1:14"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row>
    <row r="70" spans="1:14"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row>
    <row r="71" spans="1:14"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row>
    <row r="72" spans="1:14"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row>
    <row r="73" spans="1:14"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row>
    <row r="74" spans="1:14"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row>
    <row r="75" spans="1:14"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row>
    <row r="76" spans="1:14"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row>
    <row r="77" spans="1:14"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row>
    <row r="78" spans="1:14"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row>
    <row r="79" spans="1:14"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row>
    <row r="80" spans="1:14"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row>
    <row r="81" spans="1:14"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row>
    <row r="82" spans="1:14"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row>
    <row r="83" spans="1:14"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row>
    <row r="84" spans="1:14"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row>
    <row r="85" spans="1:14"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row>
    <row r="86" spans="1:14"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row>
    <row r="87" spans="1:14"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row>
    <row r="88" spans="1:14"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row>
    <row r="89" spans="1:14"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row>
    <row r="90" spans="1:14"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row>
    <row r="91" spans="1:14"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row>
    <row r="92" spans="1:14"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row>
    <row r="93" spans="1:14"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row>
    <row r="94" spans="1:14"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row>
    <row r="95" spans="1:14"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row>
    <row r="96" spans="1:14"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row>
    <row r="97" spans="1:14"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row>
    <row r="98" spans="1:14"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row>
    <row r="99" spans="1:14"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row>
    <row r="100" spans="1:14"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row>
    <row r="101" spans="1:14"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row>
    <row r="102" spans="1:14"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row>
    <row r="103" spans="1:14"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row>
    <row r="104" spans="1:14"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row>
    <row r="105" spans="1:14"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row>
    <row r="106" spans="1:14"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row>
    <row r="107" spans="1:14"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row>
    <row r="108" spans="1:14"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row>
    <row r="109" spans="1:14"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row>
    <row r="110" spans="1:14"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row>
    <row r="111" spans="1:14"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row>
    <row r="112" spans="1:14"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row>
    <row r="113" spans="1:14"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row>
    <row r="114" spans="1:14"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row>
    <row r="115" spans="1:14"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row>
    <row r="116" spans="1:14"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row>
    <row r="117" spans="1:14"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row>
    <row r="118" spans="1:14"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row>
    <row r="119" spans="1:14"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row>
    <row r="120" spans="1:14"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row>
    <row r="121" spans="1:14"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row>
    <row r="122" spans="1:14"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row>
    <row r="123" spans="1:14"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row>
    <row r="124" spans="1:14"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row>
    <row r="125" spans="1:14"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row>
    <row r="126" spans="1:14"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row>
    <row r="127" spans="1:14"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row>
    <row r="128" spans="1:14"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row>
    <row r="129" spans="1:14"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row>
    <row r="130" spans="1:14"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row>
    <row r="131" spans="1:14"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row>
    <row r="132" spans="1:14"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row>
    <row r="133" spans="1:14"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row>
    <row r="134" spans="1:14"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row>
    <row r="135" spans="1:14"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row>
    <row r="136" spans="1:14"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row>
    <row r="137" spans="1:14"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row>
    <row r="138" spans="1:14"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row>
    <row r="139" spans="1:14"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row>
    <row r="140" spans="1:14"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row>
    <row r="141" spans="1:14"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row>
    <row r="142" spans="1:14"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row>
    <row r="143" spans="1:14"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row>
    <row r="144" spans="1:14"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row>
    <row r="145" spans="1:14"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row>
    <row r="146" spans="1:14"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row>
    <row r="147" spans="1:14"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row>
    <row r="148" spans="1:14"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row>
    <row r="149" spans="1:14"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row>
    <row r="150" spans="1:14"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row>
    <row r="151" spans="1:14"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row>
    <row r="152" spans="1:14"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row>
    <row r="153" spans="1:14"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row>
    <row r="154" spans="1:14"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row>
    <row r="155" spans="1:14"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row>
    <row r="156" spans="1:14"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row>
    <row r="157" spans="1:14"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row>
    <row r="158" spans="1:14"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row>
    <row r="159" spans="1:14"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row>
    <row r="160" spans="1:14"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row>
    <row r="161" spans="1:14"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row>
    <row r="162" spans="1:14"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row>
    <row r="163" spans="1:14"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row>
    <row r="164" spans="1:14"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row>
    <row r="165" spans="1:14"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row>
    <row r="166" spans="1:14"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row>
    <row r="167" spans="1:14"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row>
    <row r="168" spans="1:14"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row>
    <row r="169" spans="1:14"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row>
    <row r="170" spans="1:14"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row>
    <row r="171" spans="1:14"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row>
    <row r="172" spans="1:14"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row>
    <row r="173" spans="1:14"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row>
    <row r="174" spans="1:14"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row>
    <row r="175" spans="1:14"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row>
    <row r="176" spans="1:14"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row>
    <row r="177" spans="1:14"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row>
    <row r="178" spans="1:14"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row>
    <row r="179" spans="1:14"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row>
    <row r="180" spans="1:14"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row>
    <row r="181" spans="1:14"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row>
    <row r="182" spans="1:14"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row>
    <row r="183" spans="1:14"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row>
    <row r="184" spans="1:14"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row>
    <row r="185" spans="1:14"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row>
    <row r="186" spans="1:14"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row>
    <row r="187" spans="1:14"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row>
    <row r="188" spans="1:14"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row>
    <row r="189" spans="1:14"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row>
    <row r="190" spans="1:14"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row>
    <row r="191" spans="1:14"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row>
    <row r="192" spans="1:14"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row>
    <row r="193" spans="1:14"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row>
    <row r="194" spans="1:14"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row>
    <row r="195" spans="1:14"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row>
    <row r="196" spans="1:14"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row>
    <row r="197" spans="1:14"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row>
    <row r="198" spans="1:14"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row>
    <row r="199" spans="1:14"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row>
    <row r="200" spans="1:14"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row>
    <row r="201" spans="1:14"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row>
    <row r="202" spans="1:14"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row>
    <row r="203" spans="1:14"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row>
    <row r="204" spans="1:14"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row>
    <row r="205" spans="1:14"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row>
    <row r="206" spans="1:14"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row>
    <row r="207" spans="1:14"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row>
    <row r="208" spans="1:14"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row>
    <row r="209" spans="1:14"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row>
    <row r="210" spans="1:14"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row>
    <row r="211" spans="1:14"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row>
    <row r="212" spans="1:14"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row>
    <row r="213" spans="1:14"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row>
    <row r="214" spans="1:14"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row>
    <row r="215" spans="1:14"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row>
    <row r="216" spans="1:14"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row>
    <row r="217" spans="1:14"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row>
    <row r="218" spans="1:14"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row>
    <row r="219" spans="1:14"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row>
    <row r="220" spans="1:14"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row>
    <row r="221" spans="1:14"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row>
    <row r="222" spans="1:14"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row>
    <row r="223" spans="1:14"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row>
    <row r="224" spans="1:14"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row>
    <row r="225" spans="1:14"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row>
    <row r="226" spans="1:14"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row>
    <row r="227" spans="1:14"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row>
    <row r="228" spans="1:14"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row>
    <row r="229" spans="1:14"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row>
    <row r="230" spans="1:14"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row>
    <row r="231" spans="1:14"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row>
    <row r="232" spans="1:14"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row>
    <row r="233" spans="1:14"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row>
    <row r="234" spans="1:14"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row>
    <row r="235" spans="1:14"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row>
    <row r="236" spans="1:14"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row>
    <row r="237" spans="1:14"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row>
    <row r="238" spans="1:14"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row>
    <row r="239" spans="1:14"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row>
    <row r="240" spans="1:14"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row>
    <row r="241" spans="1:14"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row>
    <row r="242" spans="1:14"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row>
    <row r="243" spans="1:14"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row>
    <row r="244" spans="1:14"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row>
    <row r="245" spans="1:14"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row>
    <row r="246" spans="1:14"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row>
    <row r="247" spans="1:14"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row>
    <row r="248" spans="1:14"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row>
    <row r="249" spans="1:14"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row>
    <row r="250" spans="1:14"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row>
    <row r="251" spans="1:14"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row>
    <row r="252" spans="1:14"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row>
  </sheetData>
  <scenarios current="0" show="0">
    <scenario name="best" locked="1" count="10" user="JIGNESH" comment="Created by JIGNESH on 04-04-2026">
      <inputCells r="P3" val="Quantity"/>
      <inputCells r="Q3" val="753"/>
      <inputCells r="P4" val="unit price"/>
      <inputCells r="Q4" val="250"/>
      <inputCells r="P5" val="discount"/>
      <inputCells r="Q5" val="0.05" numFmtId="9"/>
      <inputCells r="P6" val="cost price"/>
      <inputCells r="Q6" val="115600"/>
      <inputCells r="P7" val="profit"/>
      <inputCells r="Q7" val="99005"/>
    </scenario>
    <scenario name="worst" locked="1" count="10" user="JIGNESH" comment="Created by JIGNESH on 04-04-2026">
      <inputCells r="P3" val="Discount"/>
      <inputCells r="Q3" val="753"/>
      <inputCells r="P4" val="unit price"/>
      <inputCells r="Q4" val="300"/>
      <inputCells r="P5" val="discount"/>
      <inputCells r="Q5" val="0.05" numFmtId="9"/>
      <inputCells r="P6" val="cost price"/>
      <inputCells r="Q6" val="115600"/>
      <inputCells r="P7" val="profit"/>
      <inputCells r="Q7" val="99005"/>
    </scenario>
  </scenario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9177-B3C9-4AA4-9F1E-863F3F84CB8C}">
  <dimension ref="A1:S252"/>
  <sheetViews>
    <sheetView workbookViewId="0">
      <selection activeCell="W8" sqref="W8"/>
    </sheetView>
  </sheetViews>
  <sheetFormatPr defaultRowHeight="14.4"/>
  <cols>
    <col min="2" max="2" width="10.33203125" bestFit="1" customWidth="1"/>
    <col min="13" max="13" width="10.33203125" bestFit="1" customWidth="1"/>
  </cols>
  <sheetData>
    <row r="1" spans="1:19" ht="15" thickBot="1">
      <c r="A1" t="s">
        <v>437</v>
      </c>
    </row>
    <row r="2" spans="1:19" ht="43.8" thickBot="1">
      <c r="A2" s="2" t="s">
        <v>0</v>
      </c>
      <c r="B2" s="2" t="s">
        <v>1</v>
      </c>
      <c r="C2" s="2" t="s">
        <v>2</v>
      </c>
      <c r="D2" s="2" t="s">
        <v>3</v>
      </c>
      <c r="E2" s="2" t="s">
        <v>4</v>
      </c>
      <c r="F2" s="2" t="s">
        <v>5</v>
      </c>
      <c r="G2" s="2" t="s">
        <v>6</v>
      </c>
      <c r="H2" s="2" t="s">
        <v>7</v>
      </c>
      <c r="I2" s="2" t="s">
        <v>8</v>
      </c>
      <c r="J2" s="2" t="s">
        <v>9</v>
      </c>
      <c r="K2" s="2" t="s">
        <v>10</v>
      </c>
      <c r="L2" s="2" t="s">
        <v>11</v>
      </c>
      <c r="M2" s="2" t="s">
        <v>12</v>
      </c>
      <c r="N2" s="2" t="s">
        <v>13</v>
      </c>
    </row>
    <row r="3" spans="1:19"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P3" t="s">
        <v>7</v>
      </c>
      <c r="Q3">
        <v>753</v>
      </c>
    </row>
    <row r="4" spans="1:19"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P4" t="s">
        <v>412</v>
      </c>
      <c r="Q4">
        <v>250</v>
      </c>
      <c r="S4" t="s">
        <v>438</v>
      </c>
    </row>
    <row r="5" spans="1:19"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P5" t="s">
        <v>414</v>
      </c>
      <c r="Q5" s="17">
        <v>0.05</v>
      </c>
    </row>
    <row r="6" spans="1:19"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P6" t="s">
        <v>415</v>
      </c>
      <c r="Q6">
        <v>115600</v>
      </c>
    </row>
    <row r="7" spans="1:19"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P7" t="s">
        <v>416</v>
      </c>
      <c r="Q7">
        <v>99005</v>
      </c>
    </row>
    <row r="8" spans="1:19" ht="29.4" thickBot="1">
      <c r="A8" s="1" t="s">
        <v>47</v>
      </c>
      <c r="B8" s="4">
        <v>45403</v>
      </c>
      <c r="C8" s="1" t="s">
        <v>48</v>
      </c>
      <c r="D8" s="1" t="s">
        <v>49</v>
      </c>
      <c r="E8" s="1" t="s">
        <v>31</v>
      </c>
      <c r="F8" s="1" t="s">
        <v>32</v>
      </c>
      <c r="G8" s="1" t="s">
        <v>33</v>
      </c>
      <c r="H8" s="5">
        <v>2</v>
      </c>
      <c r="I8" s="5">
        <v>59.99</v>
      </c>
      <c r="J8" s="1" t="s">
        <v>20</v>
      </c>
      <c r="K8" s="1" t="s">
        <v>50</v>
      </c>
      <c r="L8" s="1" t="s">
        <v>36</v>
      </c>
      <c r="M8" s="4">
        <v>44746</v>
      </c>
      <c r="N8" s="5">
        <v>119.98</v>
      </c>
    </row>
    <row r="9" spans="1:19" ht="29.4" thickBot="1">
      <c r="A9" s="1" t="s">
        <v>51</v>
      </c>
      <c r="B9" s="4">
        <v>45403</v>
      </c>
      <c r="C9" s="1" t="s">
        <v>48</v>
      </c>
      <c r="D9" s="1" t="s">
        <v>49</v>
      </c>
      <c r="E9" s="1" t="s">
        <v>52</v>
      </c>
      <c r="F9" s="1" t="s">
        <v>53</v>
      </c>
      <c r="G9" s="1" t="s">
        <v>19</v>
      </c>
      <c r="H9" s="5">
        <v>5</v>
      </c>
      <c r="I9" s="5">
        <v>149.99</v>
      </c>
      <c r="J9" s="1" t="s">
        <v>26</v>
      </c>
      <c r="K9" s="1" t="s">
        <v>21</v>
      </c>
      <c r="L9" s="1" t="s">
        <v>36</v>
      </c>
      <c r="M9" s="4">
        <v>44418</v>
      </c>
      <c r="N9" s="5">
        <v>749.95</v>
      </c>
    </row>
    <row r="10" spans="1:19"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row>
    <row r="11" spans="1:19"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row>
    <row r="12" spans="1:19"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row>
    <row r="13" spans="1:19"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row>
    <row r="14" spans="1:19"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row>
    <row r="15" spans="1:19"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row>
    <row r="16" spans="1:19"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row>
    <row r="17" spans="1:14"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row>
    <row r="18" spans="1:14"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row>
    <row r="19" spans="1:14"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row>
    <row r="20" spans="1:14"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row>
    <row r="21" spans="1:14"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row>
    <row r="22" spans="1:14"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row>
    <row r="23" spans="1:14"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row>
    <row r="24" spans="1:14"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row>
    <row r="25" spans="1:14"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row>
    <row r="26" spans="1:14"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row>
    <row r="27" spans="1:14"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row>
    <row r="28" spans="1:14"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row>
    <row r="29" spans="1:14"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row>
    <row r="30" spans="1:14"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row>
    <row r="31" spans="1:14"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row>
    <row r="32" spans="1:14"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row>
    <row r="33" spans="1:14"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row>
    <row r="34" spans="1:14"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row>
    <row r="35" spans="1:14"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row>
    <row r="36" spans="1:14"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row>
    <row r="37" spans="1:14"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row>
    <row r="38" spans="1:14"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row>
    <row r="39" spans="1:14"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row>
    <row r="40" spans="1:14"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row>
    <row r="41" spans="1:14"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row>
    <row r="42" spans="1:14"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row>
    <row r="43" spans="1:14"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row>
    <row r="44" spans="1:14"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row>
    <row r="45" spans="1:14"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row>
    <row r="46" spans="1:14"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row>
    <row r="47" spans="1:14"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row>
    <row r="48" spans="1:14"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row>
    <row r="49" spans="1:14"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row>
    <row r="50" spans="1:14"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row>
    <row r="51" spans="1:14"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row>
    <row r="52" spans="1:14"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row>
    <row r="53" spans="1:14"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row>
    <row r="54" spans="1:14"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row>
    <row r="55" spans="1:14"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row>
    <row r="56" spans="1:14"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row>
    <row r="57" spans="1:14"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row>
    <row r="58" spans="1:14"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row>
    <row r="59" spans="1:14"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row>
    <row r="60" spans="1:14"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row>
    <row r="61" spans="1:14"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row>
    <row r="62" spans="1:14"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row>
    <row r="63" spans="1:14"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row>
    <row r="64" spans="1:14"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row>
    <row r="65" spans="1:14"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row>
    <row r="66" spans="1:14"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row>
    <row r="67" spans="1:14"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row>
    <row r="68" spans="1:14"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row>
    <row r="69" spans="1:14"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row>
    <row r="70" spans="1:14"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row>
    <row r="71" spans="1:14"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row>
    <row r="72" spans="1:14"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row>
    <row r="73" spans="1:14"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row>
    <row r="74" spans="1:14"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row>
    <row r="75" spans="1:14"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row>
    <row r="76" spans="1:14"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row>
    <row r="77" spans="1:14"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row>
    <row r="78" spans="1:14"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row>
    <row r="79" spans="1:14"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row>
    <row r="80" spans="1:14"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row>
    <row r="81" spans="1:14"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row>
    <row r="82" spans="1:14"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row>
    <row r="83" spans="1:14"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row>
    <row r="84" spans="1:14"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row>
    <row r="85" spans="1:14"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row>
    <row r="86" spans="1:14"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row>
    <row r="87" spans="1:14"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row>
    <row r="88" spans="1:14"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row>
    <row r="89" spans="1:14"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row>
    <row r="90" spans="1:14"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row>
    <row r="91" spans="1:14"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row>
    <row r="92" spans="1:14"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row>
    <row r="93" spans="1:14"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row>
    <row r="94" spans="1:14"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row>
    <row r="95" spans="1:14"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row>
    <row r="96" spans="1:14"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row>
    <row r="97" spans="1:14"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row>
    <row r="98" spans="1:14"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row>
    <row r="99" spans="1:14"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row>
    <row r="100" spans="1:14"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row>
    <row r="101" spans="1:14"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row>
    <row r="102" spans="1:14"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row>
    <row r="103" spans="1:14"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row>
    <row r="104" spans="1:14"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row>
    <row r="105" spans="1:14"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row>
    <row r="106" spans="1:14"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row>
    <row r="107" spans="1:14"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row>
    <row r="108" spans="1:14"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row>
    <row r="109" spans="1:14"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row>
    <row r="110" spans="1:14"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row>
    <row r="111" spans="1:14"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row>
    <row r="112" spans="1:14"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row>
    <row r="113" spans="1:14"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row>
    <row r="114" spans="1:14"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row>
    <row r="115" spans="1:14"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row>
    <row r="116" spans="1:14"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row>
    <row r="117" spans="1:14"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row>
    <row r="118" spans="1:14"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row>
    <row r="119" spans="1:14"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row>
    <row r="120" spans="1:14"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row>
    <row r="121" spans="1:14"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row>
    <row r="122" spans="1:14"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row>
    <row r="123" spans="1:14"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row>
    <row r="124" spans="1:14"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row>
    <row r="125" spans="1:14"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row>
    <row r="126" spans="1:14"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row>
    <row r="127" spans="1:14"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row>
    <row r="128" spans="1:14"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row>
    <row r="129" spans="1:14"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row>
    <row r="130" spans="1:14"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row>
    <row r="131" spans="1:14"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row>
    <row r="132" spans="1:14"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row>
    <row r="133" spans="1:14"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row>
    <row r="134" spans="1:14"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row>
    <row r="135" spans="1:14"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row>
    <row r="136" spans="1:14"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row>
    <row r="137" spans="1:14"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row>
    <row r="138" spans="1:14"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row>
    <row r="139" spans="1:14"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row>
    <row r="140" spans="1:14"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row>
    <row r="141" spans="1:14"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row>
    <row r="142" spans="1:14"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row>
    <row r="143" spans="1:14"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row>
    <row r="144" spans="1:14"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row>
    <row r="145" spans="1:14"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row>
    <row r="146" spans="1:14"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row>
    <row r="147" spans="1:14"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row>
    <row r="148" spans="1:14"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row>
    <row r="149" spans="1:14"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row>
    <row r="150" spans="1:14"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row>
    <row r="151" spans="1:14"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row>
    <row r="152" spans="1:14"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row>
    <row r="153" spans="1:14"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row>
    <row r="154" spans="1:14"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row>
    <row r="155" spans="1:14"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row>
    <row r="156" spans="1:14"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row>
    <row r="157" spans="1:14"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row>
    <row r="158" spans="1:14"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row>
    <row r="159" spans="1:14"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row>
    <row r="160" spans="1:14"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row>
    <row r="161" spans="1:14"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row>
    <row r="162" spans="1:14"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row>
    <row r="163" spans="1:14"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row>
    <row r="164" spans="1:14"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row>
    <row r="165" spans="1:14"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row>
    <row r="166" spans="1:14"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row>
    <row r="167" spans="1:14"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row>
    <row r="168" spans="1:14"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row>
    <row r="169" spans="1:14"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row>
    <row r="170" spans="1:14"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row>
    <row r="171" spans="1:14"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row>
    <row r="172" spans="1:14"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row>
    <row r="173" spans="1:14"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row>
    <row r="174" spans="1:14"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row>
    <row r="175" spans="1:14"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row>
    <row r="176" spans="1:14"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row>
    <row r="177" spans="1:14"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row>
    <row r="178" spans="1:14"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row>
    <row r="179" spans="1:14"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row>
    <row r="180" spans="1:14"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row>
    <row r="181" spans="1:14"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row>
    <row r="182" spans="1:14"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row>
    <row r="183" spans="1:14"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row>
    <row r="184" spans="1:14"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row>
    <row r="185" spans="1:14"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row>
    <row r="186" spans="1:14"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row>
    <row r="187" spans="1:14"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row>
    <row r="188" spans="1:14"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row>
    <row r="189" spans="1:14"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row>
    <row r="190" spans="1:14"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row>
    <row r="191" spans="1:14"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row>
    <row r="192" spans="1:14"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row>
    <row r="193" spans="1:14"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row>
    <row r="194" spans="1:14"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row>
    <row r="195" spans="1:14"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row>
    <row r="196" spans="1:14"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row>
    <row r="197" spans="1:14"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row>
    <row r="198" spans="1:14"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row>
    <row r="199" spans="1:14"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row>
    <row r="200" spans="1:14"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row>
    <row r="201" spans="1:14"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row>
    <row r="202" spans="1:14"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row>
    <row r="203" spans="1:14"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row>
    <row r="204" spans="1:14"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row>
    <row r="205" spans="1:14"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row>
    <row r="206" spans="1:14"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row>
    <row r="207" spans="1:14"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row>
    <row r="208" spans="1:14"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row>
    <row r="209" spans="1:14"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row>
    <row r="210" spans="1:14"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row>
    <row r="211" spans="1:14"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row>
    <row r="212" spans="1:14"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row>
    <row r="213" spans="1:14"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row>
    <row r="214" spans="1:14"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row>
    <row r="215" spans="1:14"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row>
    <row r="216" spans="1:14"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row>
    <row r="217" spans="1:14"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row>
    <row r="218" spans="1:14"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row>
    <row r="219" spans="1:14"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row>
    <row r="220" spans="1:14"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row>
    <row r="221" spans="1:14"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row>
    <row r="222" spans="1:14"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row>
    <row r="223" spans="1:14"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row>
    <row r="224" spans="1:14"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row>
    <row r="225" spans="1:14"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row>
    <row r="226" spans="1:14"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row>
    <row r="227" spans="1:14"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row>
    <row r="228" spans="1:14"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row>
    <row r="229" spans="1:14"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row>
    <row r="230" spans="1:14"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row>
    <row r="231" spans="1:14"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row>
    <row r="232" spans="1:14"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row>
    <row r="233" spans="1:14"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row>
    <row r="234" spans="1:14"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row>
    <row r="235" spans="1:14"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row>
    <row r="236" spans="1:14"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row>
    <row r="237" spans="1:14"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row>
    <row r="238" spans="1:14"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row>
    <row r="239" spans="1:14"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row>
    <row r="240" spans="1:14"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row>
    <row r="241" spans="1:14"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row>
    <row r="242" spans="1:14"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row>
    <row r="243" spans="1:14"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row>
    <row r="244" spans="1:14"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row>
    <row r="245" spans="1:14"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row>
    <row r="246" spans="1:14"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row>
    <row r="247" spans="1:14"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row>
    <row r="248" spans="1:14"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row>
    <row r="249" spans="1:14"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row>
    <row r="250" spans="1:14"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row>
    <row r="251" spans="1:14"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row>
    <row r="252" spans="1:14"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F922-7732-4B52-AA7B-753614046146}">
  <dimension ref="A1:AK256"/>
  <sheetViews>
    <sheetView workbookViewId="0">
      <selection activeCell="P3" sqref="P3:AK14"/>
    </sheetView>
  </sheetViews>
  <sheetFormatPr defaultRowHeight="14.4"/>
  <cols>
    <col min="2" max="2" width="10.33203125" bestFit="1" customWidth="1"/>
    <col min="13" max="13" width="10.33203125" bestFit="1" customWidth="1"/>
  </cols>
  <sheetData>
    <row r="1" spans="1:37" ht="15" thickBot="1">
      <c r="A1" t="s">
        <v>439</v>
      </c>
    </row>
    <row r="2" spans="1:37" ht="43.8" thickBot="1">
      <c r="A2" s="2" t="s">
        <v>0</v>
      </c>
      <c r="B2" s="2" t="s">
        <v>1</v>
      </c>
      <c r="C2" s="2" t="s">
        <v>2</v>
      </c>
      <c r="D2" s="2" t="s">
        <v>3</v>
      </c>
      <c r="E2" s="2" t="s">
        <v>4</v>
      </c>
      <c r="F2" s="2" t="s">
        <v>5</v>
      </c>
      <c r="G2" s="2" t="s">
        <v>6</v>
      </c>
      <c r="H2" s="2" t="s">
        <v>7</v>
      </c>
      <c r="I2" s="2" t="s">
        <v>8</v>
      </c>
      <c r="J2" s="2" t="s">
        <v>9</v>
      </c>
      <c r="K2" s="2" t="s">
        <v>10</v>
      </c>
      <c r="L2" s="2" t="s">
        <v>11</v>
      </c>
      <c r="M2" s="2" t="s">
        <v>12</v>
      </c>
      <c r="N2" s="2" t="s">
        <v>13</v>
      </c>
    </row>
    <row r="3" spans="1:37"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P3" s="34" t="s">
        <v>440</v>
      </c>
      <c r="Q3" s="33"/>
      <c r="R3" s="33"/>
      <c r="S3" s="33"/>
      <c r="T3" s="33"/>
      <c r="U3" s="33"/>
      <c r="V3" s="33"/>
      <c r="W3" s="33"/>
      <c r="X3" s="33"/>
      <c r="Y3" s="33"/>
      <c r="Z3" s="33"/>
      <c r="AA3" s="33"/>
      <c r="AB3" s="33"/>
      <c r="AC3" s="33"/>
      <c r="AD3" s="33"/>
      <c r="AE3" s="33"/>
      <c r="AF3" s="33"/>
      <c r="AG3" s="33"/>
      <c r="AH3" s="33"/>
      <c r="AI3" s="33"/>
      <c r="AJ3" s="33"/>
      <c r="AK3" s="33"/>
    </row>
    <row r="4" spans="1:37"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P4" s="33"/>
      <c r="Q4" s="33"/>
      <c r="R4" s="33"/>
      <c r="S4" s="33"/>
      <c r="T4" s="33"/>
      <c r="U4" s="33"/>
      <c r="V4" s="33"/>
      <c r="W4" s="33"/>
      <c r="X4" s="33"/>
      <c r="Y4" s="33"/>
      <c r="Z4" s="33"/>
      <c r="AA4" s="33"/>
      <c r="AB4" s="33"/>
      <c r="AC4" s="33"/>
      <c r="AD4" s="33"/>
      <c r="AE4" s="33"/>
      <c r="AF4" s="33"/>
      <c r="AG4" s="33"/>
      <c r="AH4" s="33"/>
      <c r="AI4" s="33"/>
      <c r="AJ4" s="33"/>
      <c r="AK4" s="33"/>
    </row>
    <row r="5" spans="1:37"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P5" s="33"/>
      <c r="Q5" s="33"/>
      <c r="R5" s="33"/>
      <c r="S5" s="33"/>
      <c r="T5" s="33"/>
      <c r="U5" s="33"/>
      <c r="V5" s="33"/>
      <c r="W5" s="33"/>
      <c r="X5" s="33"/>
      <c r="Y5" s="33"/>
      <c r="Z5" s="33"/>
      <c r="AA5" s="33"/>
      <c r="AB5" s="33"/>
      <c r="AC5" s="33"/>
      <c r="AD5" s="33"/>
      <c r="AE5" s="33"/>
      <c r="AF5" s="33"/>
      <c r="AG5" s="33"/>
      <c r="AH5" s="33"/>
      <c r="AI5" s="33"/>
      <c r="AJ5" s="33"/>
      <c r="AK5" s="33"/>
    </row>
    <row r="6" spans="1:37"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P6" s="33"/>
      <c r="Q6" s="33"/>
      <c r="R6" s="33"/>
      <c r="S6" s="33"/>
      <c r="T6" s="33"/>
      <c r="U6" s="33"/>
      <c r="V6" s="33"/>
      <c r="W6" s="33"/>
      <c r="X6" s="33"/>
      <c r="Y6" s="33"/>
      <c r="Z6" s="33"/>
      <c r="AA6" s="33"/>
      <c r="AB6" s="33"/>
      <c r="AC6" s="33"/>
      <c r="AD6" s="33"/>
      <c r="AE6" s="33"/>
      <c r="AF6" s="33"/>
      <c r="AG6" s="33"/>
      <c r="AH6" s="33"/>
      <c r="AI6" s="33"/>
      <c r="AJ6" s="33"/>
      <c r="AK6" s="33"/>
    </row>
    <row r="7" spans="1:37"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P7" s="33"/>
      <c r="Q7" s="33"/>
      <c r="R7" s="33"/>
      <c r="S7" s="33"/>
      <c r="T7" s="33"/>
      <c r="U7" s="33"/>
      <c r="V7" s="33"/>
      <c r="W7" s="33"/>
      <c r="X7" s="33"/>
      <c r="Y7" s="33"/>
      <c r="Z7" s="33"/>
      <c r="AA7" s="33"/>
      <c r="AB7" s="33"/>
      <c r="AC7" s="33"/>
      <c r="AD7" s="33"/>
      <c r="AE7" s="33"/>
      <c r="AF7" s="33"/>
      <c r="AG7" s="33"/>
      <c r="AH7" s="33"/>
      <c r="AI7" s="33"/>
      <c r="AJ7" s="33"/>
      <c r="AK7" s="33"/>
    </row>
    <row r="8" spans="1:37"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P8" s="33"/>
      <c r="Q8" s="33"/>
      <c r="R8" s="33"/>
      <c r="S8" s="33"/>
      <c r="T8" s="33"/>
      <c r="U8" s="33"/>
      <c r="V8" s="33"/>
      <c r="W8" s="33"/>
      <c r="X8" s="33"/>
      <c r="Y8" s="33"/>
      <c r="Z8" s="33"/>
      <c r="AA8" s="33"/>
      <c r="AB8" s="33"/>
      <c r="AC8" s="33"/>
      <c r="AD8" s="33"/>
      <c r="AE8" s="33"/>
      <c r="AF8" s="33"/>
      <c r="AG8" s="33"/>
      <c r="AH8" s="33"/>
      <c r="AI8" s="33"/>
      <c r="AJ8" s="33"/>
      <c r="AK8" s="33"/>
    </row>
    <row r="9" spans="1:37"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P9" s="33"/>
      <c r="Q9" s="33"/>
      <c r="R9" s="33"/>
      <c r="S9" s="33"/>
      <c r="T9" s="33"/>
      <c r="U9" s="33"/>
      <c r="V9" s="33"/>
      <c r="W9" s="33"/>
      <c r="X9" s="33"/>
      <c r="Y9" s="33"/>
      <c r="Z9" s="33"/>
      <c r="AA9" s="33"/>
      <c r="AB9" s="33"/>
      <c r="AC9" s="33"/>
      <c r="AD9" s="33"/>
      <c r="AE9" s="33"/>
      <c r="AF9" s="33"/>
      <c r="AG9" s="33"/>
      <c r="AH9" s="33"/>
      <c r="AI9" s="33"/>
      <c r="AJ9" s="33"/>
      <c r="AK9" s="33"/>
    </row>
    <row r="10" spans="1:37"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P10" s="33"/>
      <c r="Q10" s="33"/>
      <c r="R10" s="33"/>
      <c r="S10" s="33"/>
      <c r="T10" s="33"/>
      <c r="U10" s="33"/>
      <c r="V10" s="33"/>
      <c r="W10" s="33"/>
      <c r="X10" s="33"/>
      <c r="Y10" s="33"/>
      <c r="Z10" s="33"/>
      <c r="AA10" s="33"/>
      <c r="AB10" s="33"/>
      <c r="AC10" s="33"/>
      <c r="AD10" s="33"/>
      <c r="AE10" s="33"/>
      <c r="AF10" s="33"/>
      <c r="AG10" s="33"/>
      <c r="AH10" s="33"/>
      <c r="AI10" s="33"/>
      <c r="AJ10" s="33"/>
      <c r="AK10" s="33"/>
    </row>
    <row r="11" spans="1:37"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P11" s="33"/>
      <c r="Q11" s="33"/>
      <c r="R11" s="33"/>
      <c r="S11" s="33"/>
      <c r="T11" s="33"/>
      <c r="U11" s="33"/>
      <c r="V11" s="33"/>
      <c r="W11" s="33"/>
      <c r="X11" s="33"/>
      <c r="Y11" s="33"/>
      <c r="Z11" s="33"/>
      <c r="AA11" s="33"/>
      <c r="AB11" s="33"/>
      <c r="AC11" s="33"/>
      <c r="AD11" s="33"/>
      <c r="AE11" s="33"/>
      <c r="AF11" s="33"/>
      <c r="AG11" s="33"/>
      <c r="AH11" s="33"/>
      <c r="AI11" s="33"/>
      <c r="AJ11" s="33"/>
      <c r="AK11" s="33"/>
    </row>
    <row r="12" spans="1:37"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P12" s="33"/>
      <c r="Q12" s="33"/>
      <c r="R12" s="33"/>
      <c r="S12" s="33"/>
      <c r="T12" s="33"/>
      <c r="U12" s="33"/>
      <c r="V12" s="33"/>
      <c r="W12" s="33"/>
      <c r="X12" s="33"/>
      <c r="Y12" s="33"/>
      <c r="Z12" s="33"/>
      <c r="AA12" s="33"/>
      <c r="AB12" s="33"/>
      <c r="AC12" s="33"/>
      <c r="AD12" s="33"/>
      <c r="AE12" s="33"/>
      <c r="AF12" s="33"/>
      <c r="AG12" s="33"/>
      <c r="AH12" s="33"/>
      <c r="AI12" s="33"/>
      <c r="AJ12" s="33"/>
      <c r="AK12" s="33"/>
    </row>
    <row r="13" spans="1:37"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P13" s="33"/>
      <c r="Q13" s="33"/>
      <c r="R13" s="33"/>
      <c r="S13" s="33"/>
      <c r="T13" s="33"/>
      <c r="U13" s="33"/>
      <c r="V13" s="33"/>
      <c r="W13" s="33"/>
      <c r="X13" s="33"/>
      <c r="Y13" s="33"/>
      <c r="Z13" s="33"/>
      <c r="AA13" s="33"/>
      <c r="AB13" s="33"/>
      <c r="AC13" s="33"/>
      <c r="AD13" s="33"/>
      <c r="AE13" s="33"/>
      <c r="AF13" s="33"/>
      <c r="AG13" s="33"/>
      <c r="AH13" s="33"/>
      <c r="AI13" s="33"/>
      <c r="AJ13" s="33"/>
      <c r="AK13" s="33"/>
    </row>
    <row r="14" spans="1:37"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P14" s="33"/>
      <c r="Q14" s="33"/>
      <c r="R14" s="33"/>
      <c r="S14" s="33"/>
      <c r="T14" s="33"/>
      <c r="U14" s="33"/>
      <c r="V14" s="33"/>
      <c r="W14" s="33"/>
      <c r="X14" s="33"/>
      <c r="Y14" s="33"/>
      <c r="Z14" s="33"/>
      <c r="AA14" s="33"/>
      <c r="AB14" s="33"/>
      <c r="AC14" s="33"/>
      <c r="AD14" s="33"/>
      <c r="AE14" s="33"/>
      <c r="AF14" s="33"/>
      <c r="AG14" s="33"/>
      <c r="AH14" s="33"/>
      <c r="AI14" s="33"/>
      <c r="AJ14" s="33"/>
      <c r="AK14" s="33"/>
    </row>
    <row r="15" spans="1:37"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P15" s="1"/>
      <c r="Q15" s="4"/>
      <c r="R15" s="1"/>
      <c r="S15" s="1"/>
      <c r="T15" s="1"/>
      <c r="U15" s="1"/>
      <c r="V15" s="1"/>
      <c r="W15" s="5"/>
      <c r="X15" s="5"/>
      <c r="Y15" s="1"/>
      <c r="Z15" s="1"/>
      <c r="AA15" s="1"/>
      <c r="AB15" s="4"/>
      <c r="AC15" s="5"/>
    </row>
    <row r="16" spans="1:37"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P16" s="1"/>
      <c r="Q16" s="4"/>
      <c r="R16" s="1"/>
      <c r="S16" s="1"/>
      <c r="T16" s="1"/>
      <c r="U16" s="1"/>
      <c r="V16" s="1"/>
      <c r="W16" s="5"/>
      <c r="X16" s="5"/>
      <c r="Y16" s="1"/>
      <c r="Z16" s="1"/>
      <c r="AA16" s="1"/>
      <c r="AB16" s="4"/>
      <c r="AC16" s="5"/>
    </row>
    <row r="17" spans="1:29"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P17" s="1"/>
      <c r="Q17" s="4"/>
      <c r="R17" s="1"/>
      <c r="S17" s="1"/>
      <c r="T17" s="1"/>
      <c r="U17" s="1"/>
      <c r="V17" s="1"/>
      <c r="W17" s="5"/>
      <c r="X17" s="5"/>
      <c r="Y17" s="1"/>
      <c r="Z17" s="1"/>
      <c r="AA17" s="1"/>
      <c r="AB17" s="4"/>
      <c r="AC17" s="5"/>
    </row>
    <row r="18" spans="1:29"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P18" s="1"/>
      <c r="Q18" s="4"/>
      <c r="R18" s="1"/>
      <c r="S18" s="1"/>
      <c r="T18" s="1"/>
      <c r="U18" s="1"/>
      <c r="V18" s="1"/>
      <c r="W18" s="5"/>
      <c r="X18" s="5"/>
      <c r="Y18" s="1"/>
      <c r="Z18" s="1"/>
      <c r="AA18" s="1"/>
      <c r="AB18" s="4"/>
      <c r="AC18" s="5"/>
    </row>
    <row r="19" spans="1:29"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P19" s="1"/>
      <c r="Q19" s="4"/>
      <c r="R19" s="1"/>
      <c r="S19" s="1"/>
      <c r="T19" s="1"/>
      <c r="U19" s="1"/>
      <c r="V19" s="1"/>
      <c r="W19" s="5"/>
      <c r="X19" s="5"/>
      <c r="Y19" s="1"/>
      <c r="Z19" s="1"/>
      <c r="AA19" s="1"/>
      <c r="AB19" s="4"/>
      <c r="AC19" s="5"/>
    </row>
    <row r="20" spans="1:29"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P20" s="1"/>
      <c r="Q20" s="4"/>
      <c r="R20" s="1"/>
      <c r="S20" s="1"/>
      <c r="T20" s="1"/>
      <c r="U20" s="1"/>
      <c r="V20" s="1"/>
      <c r="W20" s="5"/>
      <c r="X20" s="5"/>
      <c r="Y20" s="1"/>
      <c r="Z20" s="1"/>
      <c r="AA20" s="1"/>
      <c r="AB20" s="4"/>
      <c r="AC20" s="5"/>
    </row>
    <row r="21" spans="1:29"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P21" s="1"/>
      <c r="Q21" s="4"/>
      <c r="R21" s="1"/>
      <c r="S21" s="1"/>
      <c r="T21" s="1"/>
      <c r="U21" s="1"/>
      <c r="V21" s="1"/>
      <c r="W21" s="5"/>
      <c r="X21" s="5"/>
      <c r="Y21" s="1"/>
      <c r="Z21" s="1"/>
      <c r="AA21" s="1"/>
      <c r="AB21" s="4"/>
      <c r="AC21" s="5"/>
    </row>
    <row r="22" spans="1:29"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P22" s="1"/>
      <c r="Q22" s="4"/>
      <c r="R22" s="1"/>
      <c r="S22" s="1"/>
      <c r="T22" s="1"/>
      <c r="U22" s="1"/>
      <c r="V22" s="1"/>
      <c r="W22" s="5"/>
      <c r="X22" s="5"/>
      <c r="Y22" s="1"/>
      <c r="Z22" s="1"/>
      <c r="AA22" s="1"/>
      <c r="AB22" s="4"/>
      <c r="AC22" s="5"/>
    </row>
    <row r="23" spans="1:29"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P23" s="1"/>
      <c r="Q23" s="4"/>
      <c r="R23" s="1"/>
      <c r="S23" s="1"/>
      <c r="T23" s="1"/>
      <c r="U23" s="1"/>
      <c r="V23" s="1"/>
      <c r="W23" s="5"/>
      <c r="X23" s="5"/>
      <c r="Y23" s="1"/>
      <c r="Z23" s="1"/>
      <c r="AA23" s="1"/>
      <c r="AB23" s="4"/>
      <c r="AC23" s="5"/>
    </row>
    <row r="24" spans="1:29"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P24" s="1"/>
      <c r="Q24" s="4"/>
      <c r="R24" s="1"/>
      <c r="S24" s="1"/>
      <c r="T24" s="1"/>
      <c r="U24" s="1"/>
      <c r="V24" s="1"/>
      <c r="W24" s="5"/>
      <c r="X24" s="5"/>
      <c r="Y24" s="1"/>
      <c r="Z24" s="1"/>
      <c r="AA24" s="1"/>
      <c r="AB24" s="4"/>
      <c r="AC24" s="5"/>
    </row>
    <row r="25" spans="1:29"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P25" s="1"/>
      <c r="Q25" s="4"/>
      <c r="R25" s="1"/>
      <c r="S25" s="1"/>
      <c r="T25" s="1"/>
      <c r="U25" s="1"/>
      <c r="V25" s="1"/>
      <c r="W25" s="5"/>
      <c r="X25" s="5"/>
      <c r="Y25" s="1"/>
      <c r="Z25" s="1"/>
      <c r="AA25" s="1"/>
      <c r="AB25" s="4"/>
      <c r="AC25" s="5"/>
    </row>
    <row r="26" spans="1:29"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P26" s="1"/>
      <c r="Q26" s="4"/>
      <c r="R26" s="1"/>
      <c r="S26" s="1"/>
      <c r="T26" s="1"/>
      <c r="U26" s="1"/>
      <c r="V26" s="1"/>
      <c r="W26" s="5"/>
      <c r="X26" s="5"/>
      <c r="Y26" s="1"/>
      <c r="Z26" s="1"/>
      <c r="AA26" s="1"/>
      <c r="AB26" s="4"/>
      <c r="AC26" s="5"/>
    </row>
    <row r="27" spans="1:29"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P27" s="1"/>
      <c r="Q27" s="4"/>
      <c r="R27" s="1"/>
      <c r="S27" s="1"/>
      <c r="T27" s="1"/>
      <c r="U27" s="1"/>
      <c r="V27" s="1"/>
      <c r="W27" s="5"/>
      <c r="X27" s="5"/>
      <c r="Y27" s="1"/>
      <c r="Z27" s="1"/>
      <c r="AA27" s="1"/>
      <c r="AB27" s="4"/>
      <c r="AC27" s="5"/>
    </row>
    <row r="28" spans="1:29"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P28" s="1"/>
      <c r="Q28" s="4"/>
      <c r="R28" s="1"/>
      <c r="S28" s="1"/>
      <c r="T28" s="1"/>
      <c r="U28" s="1"/>
      <c r="V28" s="1"/>
      <c r="W28" s="5"/>
      <c r="X28" s="5"/>
      <c r="Y28" s="1"/>
      <c r="Z28" s="1"/>
      <c r="AA28" s="1"/>
      <c r="AB28" s="4"/>
      <c r="AC28" s="5"/>
    </row>
    <row r="29" spans="1:29"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P29" s="1"/>
      <c r="Q29" s="4"/>
      <c r="R29" s="1"/>
      <c r="S29" s="1"/>
      <c r="T29" s="1"/>
      <c r="U29" s="1"/>
      <c r="V29" s="1"/>
      <c r="W29" s="5"/>
      <c r="X29" s="5"/>
      <c r="Y29" s="1"/>
      <c r="Z29" s="1"/>
      <c r="AA29" s="1"/>
      <c r="AB29" s="4"/>
      <c r="AC29" s="5"/>
    </row>
    <row r="30" spans="1:29"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P30" s="1"/>
      <c r="Q30" s="4"/>
      <c r="R30" s="1"/>
      <c r="S30" s="1"/>
      <c r="T30" s="1"/>
      <c r="U30" s="1"/>
      <c r="V30" s="1"/>
      <c r="W30" s="5"/>
      <c r="X30" s="5"/>
      <c r="Y30" s="1"/>
      <c r="Z30" s="1"/>
      <c r="AA30" s="1"/>
      <c r="AB30" s="4"/>
      <c r="AC30" s="5"/>
    </row>
    <row r="31" spans="1:29"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P31" s="1"/>
      <c r="Q31" s="4"/>
      <c r="R31" s="1"/>
      <c r="S31" s="1"/>
      <c r="T31" s="1"/>
      <c r="U31" s="1"/>
      <c r="V31" s="1"/>
      <c r="W31" s="5"/>
      <c r="X31" s="5"/>
      <c r="Y31" s="1"/>
      <c r="Z31" s="1"/>
      <c r="AA31" s="1"/>
      <c r="AB31" s="4"/>
      <c r="AC31" s="5"/>
    </row>
    <row r="32" spans="1:29"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P32" s="1"/>
      <c r="Q32" s="4"/>
      <c r="R32" s="1"/>
      <c r="S32" s="1"/>
      <c r="T32" s="1"/>
      <c r="U32" s="1"/>
      <c r="V32" s="1"/>
      <c r="W32" s="5"/>
      <c r="X32" s="5"/>
      <c r="Y32" s="1"/>
      <c r="Z32" s="1"/>
      <c r="AA32" s="1"/>
      <c r="AB32" s="4"/>
      <c r="AC32" s="5"/>
    </row>
    <row r="33" spans="1:29"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P33" s="1"/>
      <c r="Q33" s="4"/>
      <c r="R33" s="1"/>
      <c r="S33" s="1"/>
      <c r="T33" s="1"/>
      <c r="U33" s="1"/>
      <c r="V33" s="1"/>
      <c r="W33" s="5"/>
      <c r="X33" s="5"/>
      <c r="Y33" s="1"/>
      <c r="Z33" s="1"/>
      <c r="AA33" s="1"/>
      <c r="AB33" s="4"/>
      <c r="AC33" s="5"/>
    </row>
    <row r="34" spans="1:29"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P34" s="1"/>
      <c r="Q34" s="4"/>
      <c r="R34" s="1"/>
      <c r="S34" s="1"/>
      <c r="T34" s="1"/>
      <c r="U34" s="1"/>
      <c r="V34" s="1"/>
      <c r="W34" s="5"/>
      <c r="X34" s="5"/>
      <c r="Y34" s="1"/>
      <c r="Z34" s="1"/>
      <c r="AA34" s="1"/>
      <c r="AB34" s="4"/>
      <c r="AC34" s="5"/>
    </row>
    <row r="35" spans="1:29"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P35" s="1"/>
      <c r="Q35" s="4"/>
      <c r="R35" s="1"/>
      <c r="S35" s="1"/>
      <c r="T35" s="1"/>
      <c r="U35" s="1"/>
      <c r="V35" s="1"/>
      <c r="W35" s="5"/>
      <c r="X35" s="5"/>
      <c r="Y35" s="1"/>
      <c r="Z35" s="1"/>
      <c r="AA35" s="1"/>
      <c r="AB35" s="4"/>
      <c r="AC35" s="5"/>
    </row>
    <row r="36" spans="1:29"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P36" s="1"/>
      <c r="Q36" s="4"/>
      <c r="R36" s="1"/>
      <c r="S36" s="1"/>
      <c r="T36" s="1"/>
      <c r="U36" s="1"/>
      <c r="V36" s="1"/>
      <c r="W36" s="5"/>
      <c r="X36" s="5"/>
      <c r="Y36" s="1"/>
      <c r="Z36" s="1"/>
      <c r="AA36" s="1"/>
      <c r="AB36" s="4"/>
      <c r="AC36" s="5"/>
    </row>
    <row r="37" spans="1:29"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P37" s="1"/>
      <c r="Q37" s="4"/>
      <c r="R37" s="1"/>
      <c r="S37" s="1"/>
      <c r="T37" s="1"/>
      <c r="U37" s="1"/>
      <c r="V37" s="1"/>
      <c r="W37" s="5"/>
      <c r="X37" s="5"/>
      <c r="Y37" s="1"/>
      <c r="Z37" s="1"/>
      <c r="AA37" s="1"/>
      <c r="AB37" s="4"/>
      <c r="AC37" s="5"/>
    </row>
    <row r="38" spans="1:29"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P38" s="1"/>
      <c r="Q38" s="4"/>
      <c r="R38" s="1"/>
      <c r="S38" s="1"/>
      <c r="T38" s="1"/>
      <c r="U38" s="1"/>
      <c r="V38" s="1"/>
      <c r="W38" s="5"/>
      <c r="X38" s="5"/>
      <c r="Y38" s="1"/>
      <c r="Z38" s="1"/>
      <c r="AA38" s="1"/>
      <c r="AB38" s="4"/>
      <c r="AC38" s="5"/>
    </row>
    <row r="39" spans="1:29"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P39" s="1"/>
      <c r="Q39" s="4"/>
      <c r="R39" s="1"/>
      <c r="S39" s="1"/>
      <c r="T39" s="1"/>
      <c r="U39" s="1"/>
      <c r="V39" s="1"/>
      <c r="W39" s="5"/>
      <c r="X39" s="5"/>
      <c r="Y39" s="1"/>
      <c r="Z39" s="1"/>
      <c r="AA39" s="1"/>
      <c r="AB39" s="4"/>
      <c r="AC39" s="5"/>
    </row>
    <row r="40" spans="1:29"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P40" s="1"/>
      <c r="Q40" s="4"/>
      <c r="R40" s="1"/>
      <c r="S40" s="1"/>
      <c r="T40" s="1"/>
      <c r="U40" s="1"/>
      <c r="V40" s="1"/>
      <c r="W40" s="5"/>
      <c r="X40" s="5"/>
      <c r="Y40" s="1"/>
      <c r="Z40" s="1"/>
      <c r="AA40" s="1"/>
      <c r="AB40" s="4"/>
      <c r="AC40" s="5"/>
    </row>
    <row r="41" spans="1:29"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P41" s="1"/>
      <c r="Q41" s="4"/>
      <c r="R41" s="1"/>
      <c r="S41" s="1"/>
      <c r="T41" s="1"/>
      <c r="U41" s="1"/>
      <c r="V41" s="1"/>
      <c r="W41" s="5"/>
      <c r="X41" s="5"/>
      <c r="Y41" s="1"/>
      <c r="Z41" s="1"/>
      <c r="AA41" s="1"/>
      <c r="AB41" s="4"/>
      <c r="AC41" s="5"/>
    </row>
    <row r="42" spans="1:29"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P42" s="1"/>
      <c r="Q42" s="4"/>
      <c r="R42" s="1"/>
      <c r="S42" s="1"/>
      <c r="T42" s="1"/>
      <c r="U42" s="1"/>
      <c r="V42" s="1"/>
      <c r="W42" s="5"/>
      <c r="X42" s="5"/>
      <c r="Y42" s="1"/>
      <c r="Z42" s="1"/>
      <c r="AA42" s="1"/>
      <c r="AB42" s="4"/>
      <c r="AC42" s="5"/>
    </row>
    <row r="43" spans="1:29"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P43" s="1"/>
      <c r="Q43" s="4"/>
      <c r="R43" s="1"/>
      <c r="S43" s="1"/>
      <c r="T43" s="1"/>
      <c r="U43" s="1"/>
      <c r="V43" s="1"/>
      <c r="W43" s="5"/>
      <c r="X43" s="5"/>
      <c r="Y43" s="1"/>
      <c r="Z43" s="1"/>
      <c r="AA43" s="1"/>
      <c r="AB43" s="4"/>
      <c r="AC43" s="5"/>
    </row>
    <row r="44" spans="1:29"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P44" s="1"/>
      <c r="Q44" s="4"/>
      <c r="R44" s="1"/>
      <c r="S44" s="1"/>
      <c r="T44" s="1"/>
      <c r="U44" s="1"/>
      <c r="V44" s="1"/>
      <c r="W44" s="5"/>
      <c r="X44" s="5"/>
      <c r="Y44" s="1"/>
      <c r="Z44" s="1"/>
      <c r="AA44" s="1"/>
      <c r="AB44" s="4"/>
      <c r="AC44" s="5"/>
    </row>
    <row r="45" spans="1:29"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P45" s="1"/>
      <c r="Q45" s="4"/>
      <c r="R45" s="1"/>
      <c r="S45" s="1"/>
      <c r="T45" s="1"/>
      <c r="U45" s="1"/>
      <c r="V45" s="1"/>
      <c r="W45" s="5"/>
      <c r="X45" s="5"/>
      <c r="Y45" s="1"/>
      <c r="Z45" s="1"/>
      <c r="AA45" s="1"/>
      <c r="AB45" s="4"/>
      <c r="AC45" s="5"/>
    </row>
    <row r="46" spans="1:29"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P46" s="1"/>
      <c r="Q46" s="4"/>
      <c r="R46" s="1"/>
      <c r="S46" s="1"/>
      <c r="T46" s="1"/>
      <c r="U46" s="1"/>
      <c r="V46" s="1"/>
      <c r="W46" s="5"/>
      <c r="X46" s="5"/>
      <c r="Y46" s="1"/>
      <c r="Z46" s="1"/>
      <c r="AA46" s="1"/>
      <c r="AB46" s="4"/>
      <c r="AC46" s="5"/>
    </row>
    <row r="47" spans="1:29"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P47" s="1"/>
      <c r="Q47" s="4"/>
      <c r="R47" s="1"/>
      <c r="S47" s="1"/>
      <c r="T47" s="1"/>
      <c r="U47" s="1"/>
      <c r="V47" s="1"/>
      <c r="W47" s="5"/>
      <c r="X47" s="5"/>
      <c r="Y47" s="1"/>
      <c r="Z47" s="1"/>
      <c r="AA47" s="1"/>
      <c r="AB47" s="4"/>
      <c r="AC47" s="5"/>
    </row>
    <row r="48" spans="1:29"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P48" s="1"/>
      <c r="Q48" s="4"/>
      <c r="R48" s="1"/>
      <c r="S48" s="1"/>
      <c r="T48" s="1"/>
      <c r="U48" s="1"/>
      <c r="V48" s="1"/>
      <c r="W48" s="5"/>
      <c r="X48" s="5"/>
      <c r="Y48" s="1"/>
      <c r="Z48" s="1"/>
      <c r="AA48" s="1"/>
      <c r="AB48" s="4"/>
      <c r="AC48" s="5"/>
    </row>
    <row r="49" spans="1:29"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P49" s="1"/>
      <c r="Q49" s="4"/>
      <c r="R49" s="1"/>
      <c r="S49" s="1"/>
      <c r="T49" s="1"/>
      <c r="U49" s="1"/>
      <c r="V49" s="1"/>
      <c r="W49" s="5"/>
      <c r="X49" s="5"/>
      <c r="Y49" s="1"/>
      <c r="Z49" s="1"/>
      <c r="AA49" s="1"/>
      <c r="AB49" s="4"/>
      <c r="AC49" s="5"/>
    </row>
    <row r="50" spans="1:29"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P50" s="1"/>
      <c r="Q50" s="4"/>
      <c r="R50" s="1"/>
      <c r="S50" s="1"/>
      <c r="T50" s="1"/>
      <c r="U50" s="1"/>
      <c r="V50" s="1"/>
      <c r="W50" s="5"/>
      <c r="X50" s="5"/>
      <c r="Y50" s="1"/>
      <c r="Z50" s="1"/>
      <c r="AA50" s="1"/>
      <c r="AB50" s="4"/>
      <c r="AC50" s="5"/>
    </row>
    <row r="51" spans="1:29"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P51" s="1"/>
      <c r="Q51" s="4"/>
      <c r="R51" s="1"/>
      <c r="S51" s="1"/>
      <c r="T51" s="1"/>
      <c r="U51" s="1"/>
      <c r="V51" s="1"/>
      <c r="W51" s="5"/>
      <c r="X51" s="5"/>
      <c r="Y51" s="1"/>
      <c r="Z51" s="1"/>
      <c r="AA51" s="1"/>
      <c r="AB51" s="4"/>
      <c r="AC51" s="5"/>
    </row>
    <row r="52" spans="1:29"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P52" s="1"/>
      <c r="Q52" s="4"/>
      <c r="R52" s="1"/>
      <c r="S52" s="1"/>
      <c r="T52" s="1"/>
      <c r="U52" s="1"/>
      <c r="V52" s="1"/>
      <c r="W52" s="5"/>
      <c r="X52" s="5"/>
      <c r="Y52" s="1"/>
      <c r="Z52" s="1"/>
      <c r="AA52" s="1"/>
      <c r="AB52" s="4"/>
      <c r="AC52" s="5"/>
    </row>
    <row r="53" spans="1:29"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P53" s="1"/>
      <c r="Q53" s="4"/>
      <c r="R53" s="1"/>
      <c r="S53" s="1"/>
      <c r="T53" s="1"/>
      <c r="U53" s="1"/>
      <c r="V53" s="1"/>
      <c r="W53" s="5"/>
      <c r="X53" s="5"/>
      <c r="Y53" s="1"/>
      <c r="Z53" s="1"/>
      <c r="AA53" s="1"/>
      <c r="AB53" s="4"/>
      <c r="AC53" s="5"/>
    </row>
    <row r="54" spans="1:29"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P54" s="1"/>
      <c r="Q54" s="4"/>
      <c r="R54" s="1"/>
      <c r="S54" s="1"/>
      <c r="T54" s="1"/>
      <c r="U54" s="1"/>
      <c r="V54" s="1"/>
      <c r="W54" s="5"/>
      <c r="X54" s="5"/>
      <c r="Y54" s="1"/>
      <c r="Z54" s="1"/>
      <c r="AA54" s="1"/>
      <c r="AB54" s="4"/>
      <c r="AC54" s="5"/>
    </row>
    <row r="55" spans="1:29"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P55" s="1"/>
      <c r="Q55" s="4"/>
      <c r="R55" s="1"/>
      <c r="S55" s="1"/>
      <c r="T55" s="1"/>
      <c r="U55" s="1"/>
      <c r="V55" s="1"/>
      <c r="W55" s="5"/>
      <c r="X55" s="5"/>
      <c r="Y55" s="1"/>
      <c r="Z55" s="1"/>
      <c r="AA55" s="1"/>
      <c r="AB55" s="4"/>
      <c r="AC55" s="5"/>
    </row>
    <row r="56" spans="1:29"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P56" s="1"/>
      <c r="Q56" s="4"/>
      <c r="R56" s="1"/>
      <c r="S56" s="1"/>
      <c r="T56" s="1"/>
      <c r="U56" s="1"/>
      <c r="V56" s="1"/>
      <c r="W56" s="5"/>
      <c r="X56" s="5"/>
      <c r="Y56" s="1"/>
      <c r="Z56" s="1"/>
      <c r="AA56" s="1"/>
      <c r="AB56" s="4"/>
      <c r="AC56" s="5"/>
    </row>
    <row r="57" spans="1:29"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P57" s="1"/>
      <c r="Q57" s="4"/>
      <c r="R57" s="1"/>
      <c r="S57" s="1"/>
      <c r="T57" s="1"/>
      <c r="U57" s="1"/>
      <c r="V57" s="1"/>
      <c r="W57" s="5"/>
      <c r="X57" s="5"/>
      <c r="Y57" s="1"/>
      <c r="Z57" s="1"/>
      <c r="AA57" s="1"/>
      <c r="AB57" s="4"/>
      <c r="AC57" s="5"/>
    </row>
    <row r="58" spans="1:29"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P58" s="1"/>
      <c r="Q58" s="4"/>
      <c r="R58" s="1"/>
      <c r="S58" s="1"/>
      <c r="T58" s="1"/>
      <c r="U58" s="1"/>
      <c r="V58" s="1"/>
      <c r="W58" s="5"/>
      <c r="X58" s="5"/>
      <c r="Y58" s="1"/>
      <c r="Z58" s="1"/>
      <c r="AA58" s="1"/>
      <c r="AB58" s="4"/>
      <c r="AC58" s="5"/>
    </row>
    <row r="59" spans="1:29"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P59" s="1"/>
      <c r="Q59" s="4"/>
      <c r="R59" s="1"/>
      <c r="S59" s="1"/>
      <c r="T59" s="1"/>
      <c r="U59" s="1"/>
      <c r="V59" s="1"/>
      <c r="W59" s="5"/>
      <c r="X59" s="5"/>
      <c r="Y59" s="1"/>
      <c r="Z59" s="1"/>
      <c r="AA59" s="1"/>
      <c r="AB59" s="4"/>
      <c r="AC59" s="5"/>
    </row>
    <row r="60" spans="1:29"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P60" s="1"/>
      <c r="Q60" s="4"/>
      <c r="R60" s="1"/>
      <c r="S60" s="1"/>
      <c r="T60" s="1"/>
      <c r="U60" s="1"/>
      <c r="V60" s="1"/>
      <c r="W60" s="5"/>
      <c r="X60" s="5"/>
      <c r="Y60" s="1"/>
      <c r="Z60" s="1"/>
      <c r="AA60" s="1"/>
      <c r="AB60" s="4"/>
      <c r="AC60" s="5"/>
    </row>
    <row r="61" spans="1:29"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P61" s="1"/>
      <c r="Q61" s="4"/>
      <c r="R61" s="1"/>
      <c r="S61" s="1"/>
      <c r="T61" s="1"/>
      <c r="U61" s="1"/>
      <c r="V61" s="1"/>
      <c r="W61" s="5"/>
      <c r="X61" s="5"/>
      <c r="Y61" s="1"/>
      <c r="Z61" s="1"/>
      <c r="AA61" s="1"/>
      <c r="AB61" s="4"/>
      <c r="AC61" s="5"/>
    </row>
    <row r="62" spans="1:29"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P62" s="1"/>
      <c r="Q62" s="4"/>
      <c r="R62" s="1"/>
      <c r="S62" s="1"/>
      <c r="T62" s="1"/>
      <c r="U62" s="1"/>
      <c r="V62" s="1"/>
      <c r="W62" s="5"/>
      <c r="X62" s="5"/>
      <c r="Y62" s="1"/>
      <c r="Z62" s="1"/>
      <c r="AA62" s="1"/>
      <c r="AB62" s="4"/>
      <c r="AC62" s="5"/>
    </row>
    <row r="63" spans="1:29"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P63" s="1"/>
      <c r="Q63" s="4"/>
      <c r="R63" s="1"/>
      <c r="S63" s="1"/>
      <c r="T63" s="1"/>
      <c r="U63" s="1"/>
      <c r="V63" s="1"/>
      <c r="W63" s="5"/>
      <c r="X63" s="5"/>
      <c r="Y63" s="1"/>
      <c r="Z63" s="1"/>
      <c r="AA63" s="1"/>
      <c r="AB63" s="4"/>
      <c r="AC63" s="5"/>
    </row>
    <row r="64" spans="1:29"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P64" s="1"/>
      <c r="Q64" s="4"/>
      <c r="R64" s="1"/>
      <c r="S64" s="1"/>
      <c r="T64" s="1"/>
      <c r="U64" s="1"/>
      <c r="V64" s="1"/>
      <c r="W64" s="5"/>
      <c r="X64" s="5"/>
      <c r="Y64" s="1"/>
      <c r="Z64" s="1"/>
      <c r="AA64" s="1"/>
      <c r="AB64" s="4"/>
      <c r="AC64" s="5"/>
    </row>
    <row r="65" spans="1:29"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P65" s="1"/>
      <c r="Q65" s="4"/>
      <c r="R65" s="1"/>
      <c r="S65" s="1"/>
      <c r="T65" s="1"/>
      <c r="U65" s="1"/>
      <c r="V65" s="1"/>
      <c r="W65" s="5"/>
      <c r="X65" s="5"/>
      <c r="Y65" s="1"/>
      <c r="Z65" s="1"/>
      <c r="AA65" s="1"/>
      <c r="AB65" s="4"/>
      <c r="AC65" s="5"/>
    </row>
    <row r="66" spans="1:29"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P66" s="1"/>
      <c r="Q66" s="4"/>
      <c r="R66" s="1"/>
      <c r="S66" s="1"/>
      <c r="T66" s="1"/>
      <c r="U66" s="1"/>
      <c r="V66" s="1"/>
      <c r="W66" s="5"/>
      <c r="X66" s="5"/>
      <c r="Y66" s="1"/>
      <c r="Z66" s="1"/>
      <c r="AA66" s="1"/>
      <c r="AB66" s="4"/>
      <c r="AC66" s="5"/>
    </row>
    <row r="67" spans="1:29"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P67" s="1"/>
      <c r="Q67" s="4"/>
      <c r="R67" s="1"/>
      <c r="S67" s="1"/>
      <c r="T67" s="1"/>
      <c r="U67" s="1"/>
      <c r="V67" s="1"/>
      <c r="W67" s="5"/>
      <c r="X67" s="5"/>
      <c r="Y67" s="1"/>
      <c r="Z67" s="1"/>
      <c r="AA67" s="1"/>
      <c r="AB67" s="4"/>
      <c r="AC67" s="5"/>
    </row>
    <row r="68" spans="1:29"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P68" s="1"/>
      <c r="Q68" s="4"/>
      <c r="R68" s="1"/>
      <c r="S68" s="1"/>
      <c r="T68" s="1"/>
      <c r="U68" s="1"/>
      <c r="V68" s="1"/>
      <c r="W68" s="5"/>
      <c r="X68" s="5"/>
      <c r="Y68" s="1"/>
      <c r="Z68" s="1"/>
      <c r="AA68" s="1"/>
      <c r="AB68" s="4"/>
      <c r="AC68" s="5"/>
    </row>
    <row r="69" spans="1:29"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P69" s="1"/>
      <c r="Q69" s="4"/>
      <c r="R69" s="1"/>
      <c r="S69" s="1"/>
      <c r="T69" s="1"/>
      <c r="U69" s="1"/>
      <c r="V69" s="1"/>
      <c r="W69" s="5"/>
      <c r="X69" s="5"/>
      <c r="Y69" s="1"/>
      <c r="Z69" s="1"/>
      <c r="AA69" s="1"/>
      <c r="AB69" s="4"/>
      <c r="AC69" s="5"/>
    </row>
    <row r="70" spans="1:29"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P70" s="1"/>
      <c r="Q70" s="4"/>
      <c r="R70" s="1"/>
      <c r="S70" s="1"/>
      <c r="T70" s="1"/>
      <c r="U70" s="1"/>
      <c r="V70" s="1"/>
      <c r="W70" s="5"/>
      <c r="X70" s="5"/>
      <c r="Y70" s="1"/>
      <c r="Z70" s="1"/>
      <c r="AA70" s="1"/>
      <c r="AB70" s="4"/>
      <c r="AC70" s="5"/>
    </row>
    <row r="71" spans="1:29"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P71" s="1"/>
      <c r="Q71" s="4"/>
      <c r="R71" s="1"/>
      <c r="S71" s="1"/>
      <c r="T71" s="1"/>
      <c r="U71" s="1"/>
      <c r="V71" s="1"/>
      <c r="W71" s="5"/>
      <c r="X71" s="5"/>
      <c r="Y71" s="1"/>
      <c r="Z71" s="1"/>
      <c r="AA71" s="1"/>
      <c r="AB71" s="4"/>
      <c r="AC71" s="5"/>
    </row>
    <row r="72" spans="1:29"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P72" s="1"/>
      <c r="Q72" s="4"/>
      <c r="R72" s="1"/>
      <c r="S72" s="1"/>
      <c r="T72" s="1"/>
      <c r="U72" s="1"/>
      <c r="V72" s="1"/>
      <c r="W72" s="5"/>
      <c r="X72" s="5"/>
      <c r="Y72" s="1"/>
      <c r="Z72" s="1"/>
      <c r="AA72" s="1"/>
      <c r="AB72" s="4"/>
      <c r="AC72" s="5"/>
    </row>
    <row r="73" spans="1:29"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P73" s="1"/>
      <c r="Q73" s="4"/>
      <c r="R73" s="1"/>
      <c r="S73" s="1"/>
      <c r="T73" s="1"/>
      <c r="U73" s="1"/>
      <c r="V73" s="1"/>
      <c r="W73" s="5"/>
      <c r="X73" s="5"/>
      <c r="Y73" s="1"/>
      <c r="Z73" s="1"/>
      <c r="AA73" s="1"/>
      <c r="AB73" s="4"/>
      <c r="AC73" s="5"/>
    </row>
    <row r="74" spans="1:29"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P74" s="1"/>
      <c r="Q74" s="4"/>
      <c r="R74" s="1"/>
      <c r="S74" s="1"/>
      <c r="T74" s="1"/>
      <c r="U74" s="1"/>
      <c r="V74" s="1"/>
      <c r="W74" s="5"/>
      <c r="X74" s="5"/>
      <c r="Y74" s="1"/>
      <c r="Z74" s="1"/>
      <c r="AA74" s="1"/>
      <c r="AB74" s="4"/>
      <c r="AC74" s="5"/>
    </row>
    <row r="75" spans="1:29"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P75" s="1"/>
      <c r="Q75" s="4"/>
      <c r="R75" s="1"/>
      <c r="S75" s="1"/>
      <c r="T75" s="1"/>
      <c r="U75" s="1"/>
      <c r="V75" s="1"/>
      <c r="W75" s="5"/>
      <c r="X75" s="5"/>
      <c r="Y75" s="1"/>
      <c r="Z75" s="1"/>
      <c r="AA75" s="1"/>
      <c r="AB75" s="4"/>
      <c r="AC75" s="5"/>
    </row>
    <row r="76" spans="1:29"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P76" s="1"/>
      <c r="Q76" s="4"/>
      <c r="R76" s="1"/>
      <c r="S76" s="1"/>
      <c r="T76" s="1"/>
      <c r="U76" s="1"/>
      <c r="V76" s="1"/>
      <c r="W76" s="5"/>
      <c r="X76" s="5"/>
      <c r="Y76" s="1"/>
      <c r="Z76" s="1"/>
      <c r="AA76" s="1"/>
      <c r="AB76" s="4"/>
      <c r="AC76" s="5"/>
    </row>
    <row r="77" spans="1:29"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P77" s="1"/>
      <c r="Q77" s="4"/>
      <c r="R77" s="1"/>
      <c r="S77" s="1"/>
      <c r="T77" s="1"/>
      <c r="U77" s="1"/>
      <c r="V77" s="1"/>
      <c r="W77" s="5"/>
      <c r="X77" s="5"/>
      <c r="Y77" s="1"/>
      <c r="Z77" s="1"/>
      <c r="AA77" s="1"/>
      <c r="AB77" s="4"/>
      <c r="AC77" s="5"/>
    </row>
    <row r="78" spans="1:29"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P78" s="1"/>
      <c r="Q78" s="4"/>
      <c r="R78" s="1"/>
      <c r="S78" s="1"/>
      <c r="T78" s="1"/>
      <c r="U78" s="1"/>
      <c r="V78" s="1"/>
      <c r="W78" s="5"/>
      <c r="X78" s="5"/>
      <c r="Y78" s="1"/>
      <c r="Z78" s="1"/>
      <c r="AA78" s="1"/>
      <c r="AB78" s="4"/>
      <c r="AC78" s="5"/>
    </row>
    <row r="79" spans="1:29"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P79" s="1"/>
      <c r="Q79" s="4"/>
      <c r="R79" s="1"/>
      <c r="S79" s="1"/>
      <c r="T79" s="1"/>
      <c r="U79" s="1"/>
      <c r="V79" s="1"/>
      <c r="W79" s="5"/>
      <c r="X79" s="5"/>
      <c r="Y79" s="1"/>
      <c r="Z79" s="1"/>
      <c r="AA79" s="1"/>
      <c r="AB79" s="4"/>
      <c r="AC79" s="5"/>
    </row>
    <row r="80" spans="1:29"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P80" s="1"/>
      <c r="Q80" s="4"/>
      <c r="R80" s="1"/>
      <c r="S80" s="1"/>
      <c r="T80" s="1"/>
      <c r="U80" s="1"/>
      <c r="V80" s="1"/>
      <c r="W80" s="5"/>
      <c r="X80" s="5"/>
      <c r="Y80" s="1"/>
      <c r="Z80" s="1"/>
      <c r="AA80" s="1"/>
      <c r="AB80" s="4"/>
      <c r="AC80" s="5"/>
    </row>
    <row r="81" spans="1:29"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P81" s="1"/>
      <c r="Q81" s="4"/>
      <c r="R81" s="1"/>
      <c r="S81" s="1"/>
      <c r="T81" s="1"/>
      <c r="U81" s="1"/>
      <c r="V81" s="1"/>
      <c r="W81" s="5"/>
      <c r="X81" s="5"/>
      <c r="Y81" s="1"/>
      <c r="Z81" s="1"/>
      <c r="AA81" s="1"/>
      <c r="AB81" s="4"/>
      <c r="AC81" s="5"/>
    </row>
    <row r="82" spans="1:29"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P82" s="1"/>
      <c r="Q82" s="4"/>
      <c r="R82" s="1"/>
      <c r="S82" s="1"/>
      <c r="T82" s="1"/>
      <c r="U82" s="1"/>
      <c r="V82" s="1"/>
      <c r="W82" s="5"/>
      <c r="X82" s="5"/>
      <c r="Y82" s="1"/>
      <c r="Z82" s="1"/>
      <c r="AA82" s="1"/>
      <c r="AB82" s="4"/>
      <c r="AC82" s="5"/>
    </row>
    <row r="83" spans="1:29"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P83" s="1"/>
      <c r="Q83" s="4"/>
      <c r="R83" s="1"/>
      <c r="S83" s="1"/>
      <c r="T83" s="1"/>
      <c r="U83" s="1"/>
      <c r="V83" s="1"/>
      <c r="W83" s="5"/>
      <c r="X83" s="5"/>
      <c r="Y83" s="1"/>
      <c r="Z83" s="1"/>
      <c r="AA83" s="1"/>
      <c r="AB83" s="4"/>
      <c r="AC83" s="5"/>
    </row>
    <row r="84" spans="1:29"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P84" s="1"/>
      <c r="Q84" s="4"/>
      <c r="R84" s="1"/>
      <c r="S84" s="1"/>
      <c r="T84" s="1"/>
      <c r="U84" s="1"/>
      <c r="V84" s="1"/>
      <c r="W84" s="5"/>
      <c r="X84" s="5"/>
      <c r="Y84" s="1"/>
      <c r="Z84" s="1"/>
      <c r="AA84" s="1"/>
      <c r="AB84" s="4"/>
      <c r="AC84" s="5"/>
    </row>
    <row r="85" spans="1:29"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P85" s="1"/>
      <c r="Q85" s="4"/>
      <c r="R85" s="1"/>
      <c r="S85" s="1"/>
      <c r="T85" s="1"/>
      <c r="U85" s="1"/>
      <c r="V85" s="1"/>
      <c r="W85" s="5"/>
      <c r="X85" s="5"/>
      <c r="Y85" s="1"/>
      <c r="Z85" s="1"/>
      <c r="AA85" s="1"/>
      <c r="AB85" s="4"/>
      <c r="AC85" s="5"/>
    </row>
    <row r="86" spans="1:29"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P86" s="1"/>
      <c r="Q86" s="4"/>
      <c r="R86" s="1"/>
      <c r="S86" s="1"/>
      <c r="T86" s="1"/>
      <c r="U86" s="1"/>
      <c r="V86" s="1"/>
      <c r="W86" s="5"/>
      <c r="X86" s="5"/>
      <c r="Y86" s="1"/>
      <c r="Z86" s="1"/>
      <c r="AA86" s="1"/>
      <c r="AB86" s="4"/>
      <c r="AC86" s="5"/>
    </row>
    <row r="87" spans="1:29"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P87" s="1"/>
      <c r="Q87" s="4"/>
      <c r="R87" s="1"/>
      <c r="S87" s="1"/>
      <c r="T87" s="1"/>
      <c r="U87" s="1"/>
      <c r="V87" s="1"/>
      <c r="W87" s="5"/>
      <c r="X87" s="5"/>
      <c r="Y87" s="1"/>
      <c r="Z87" s="1"/>
      <c r="AA87" s="1"/>
      <c r="AB87" s="4"/>
      <c r="AC87" s="5"/>
    </row>
    <row r="88" spans="1:29"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P88" s="1"/>
      <c r="Q88" s="4"/>
      <c r="R88" s="1"/>
      <c r="S88" s="1"/>
      <c r="T88" s="1"/>
      <c r="U88" s="1"/>
      <c r="V88" s="1"/>
      <c r="W88" s="5"/>
      <c r="X88" s="5"/>
      <c r="Y88" s="1"/>
      <c r="Z88" s="1"/>
      <c r="AA88" s="1"/>
      <c r="AB88" s="4"/>
      <c r="AC88" s="5"/>
    </row>
    <row r="89" spans="1:29"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P89" s="1"/>
      <c r="Q89" s="4"/>
      <c r="R89" s="1"/>
      <c r="S89" s="1"/>
      <c r="T89" s="1"/>
      <c r="U89" s="1"/>
      <c r="V89" s="1"/>
      <c r="W89" s="5"/>
      <c r="X89" s="5"/>
      <c r="Y89" s="1"/>
      <c r="Z89" s="1"/>
      <c r="AA89" s="1"/>
      <c r="AB89" s="4"/>
      <c r="AC89" s="5"/>
    </row>
    <row r="90" spans="1:29"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P90" s="1"/>
      <c r="Q90" s="4"/>
      <c r="R90" s="1"/>
      <c r="S90" s="1"/>
      <c r="T90" s="1"/>
      <c r="U90" s="1"/>
      <c r="V90" s="1"/>
      <c r="W90" s="5"/>
      <c r="X90" s="5"/>
      <c r="Y90" s="1"/>
      <c r="Z90" s="1"/>
      <c r="AA90" s="1"/>
      <c r="AB90" s="4"/>
      <c r="AC90" s="5"/>
    </row>
    <row r="91" spans="1:29"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P91" s="1"/>
      <c r="Q91" s="4"/>
      <c r="R91" s="1"/>
      <c r="S91" s="1"/>
      <c r="T91" s="1"/>
      <c r="U91" s="1"/>
      <c r="V91" s="1"/>
      <c r="W91" s="5"/>
      <c r="X91" s="5"/>
      <c r="Y91" s="1"/>
      <c r="Z91" s="1"/>
      <c r="AA91" s="1"/>
      <c r="AB91" s="4"/>
      <c r="AC91" s="5"/>
    </row>
    <row r="92" spans="1:29"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P92" s="1"/>
      <c r="Q92" s="4"/>
      <c r="R92" s="1"/>
      <c r="S92" s="1"/>
      <c r="T92" s="1"/>
      <c r="U92" s="1"/>
      <c r="V92" s="1"/>
      <c r="W92" s="5"/>
      <c r="X92" s="5"/>
      <c r="Y92" s="1"/>
      <c r="Z92" s="1"/>
      <c r="AA92" s="1"/>
      <c r="AB92" s="4"/>
      <c r="AC92" s="5"/>
    </row>
    <row r="93" spans="1:29"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P93" s="1"/>
      <c r="Q93" s="4"/>
      <c r="R93" s="1"/>
      <c r="S93" s="1"/>
      <c r="T93" s="1"/>
      <c r="U93" s="1"/>
      <c r="V93" s="1"/>
      <c r="W93" s="5"/>
      <c r="X93" s="5"/>
      <c r="Y93" s="1"/>
      <c r="Z93" s="1"/>
      <c r="AA93" s="1"/>
      <c r="AB93" s="4"/>
      <c r="AC93" s="5"/>
    </row>
    <row r="94" spans="1:29"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P94" s="1"/>
      <c r="Q94" s="4"/>
      <c r="R94" s="1"/>
      <c r="S94" s="1"/>
      <c r="T94" s="1"/>
      <c r="U94" s="1"/>
      <c r="V94" s="1"/>
      <c r="W94" s="5"/>
      <c r="X94" s="5"/>
      <c r="Y94" s="1"/>
      <c r="Z94" s="1"/>
      <c r="AA94" s="1"/>
      <c r="AB94" s="4"/>
      <c r="AC94" s="5"/>
    </row>
    <row r="95" spans="1:29"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P95" s="1"/>
      <c r="Q95" s="4"/>
      <c r="R95" s="1"/>
      <c r="S95" s="1"/>
      <c r="T95" s="1"/>
      <c r="U95" s="1"/>
      <c r="V95" s="1"/>
      <c r="W95" s="5"/>
      <c r="X95" s="5"/>
      <c r="Y95" s="1"/>
      <c r="Z95" s="1"/>
      <c r="AA95" s="1"/>
      <c r="AB95" s="4"/>
      <c r="AC95" s="5"/>
    </row>
    <row r="96" spans="1:29"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P96" s="1"/>
      <c r="Q96" s="4"/>
      <c r="R96" s="1"/>
      <c r="S96" s="1"/>
      <c r="T96" s="1"/>
      <c r="U96" s="1"/>
      <c r="V96" s="1"/>
      <c r="W96" s="5"/>
      <c r="X96" s="5"/>
      <c r="Y96" s="1"/>
      <c r="Z96" s="1"/>
      <c r="AA96" s="1"/>
      <c r="AB96" s="4"/>
      <c r="AC96" s="5"/>
    </row>
    <row r="97" spans="1:29"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P97" s="1"/>
      <c r="Q97" s="4"/>
      <c r="R97" s="1"/>
      <c r="S97" s="1"/>
      <c r="T97" s="1"/>
      <c r="U97" s="1"/>
      <c r="V97" s="1"/>
      <c r="W97" s="5"/>
      <c r="X97" s="5"/>
      <c r="Y97" s="1"/>
      <c r="Z97" s="1"/>
      <c r="AA97" s="1"/>
      <c r="AB97" s="4"/>
      <c r="AC97" s="5"/>
    </row>
    <row r="98" spans="1:29"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P98" s="1"/>
      <c r="Q98" s="4"/>
      <c r="R98" s="1"/>
      <c r="S98" s="1"/>
      <c r="T98" s="1"/>
      <c r="U98" s="1"/>
      <c r="V98" s="1"/>
      <c r="W98" s="5"/>
      <c r="X98" s="5"/>
      <c r="Y98" s="1"/>
      <c r="Z98" s="1"/>
      <c r="AA98" s="1"/>
      <c r="AB98" s="4"/>
      <c r="AC98" s="5"/>
    </row>
    <row r="99" spans="1:29"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P99" s="1"/>
      <c r="Q99" s="4"/>
      <c r="R99" s="1"/>
      <c r="S99" s="1"/>
      <c r="T99" s="1"/>
      <c r="U99" s="1"/>
      <c r="V99" s="1"/>
      <c r="W99" s="5"/>
      <c r="X99" s="5"/>
      <c r="Y99" s="1"/>
      <c r="Z99" s="1"/>
      <c r="AA99" s="1"/>
      <c r="AB99" s="4"/>
      <c r="AC99" s="5"/>
    </row>
    <row r="100" spans="1:29"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P100" s="1"/>
      <c r="Q100" s="4"/>
      <c r="R100" s="1"/>
      <c r="S100" s="1"/>
      <c r="T100" s="1"/>
      <c r="U100" s="1"/>
      <c r="V100" s="1"/>
      <c r="W100" s="5"/>
      <c r="X100" s="5"/>
      <c r="Y100" s="1"/>
      <c r="Z100" s="1"/>
      <c r="AA100" s="1"/>
      <c r="AB100" s="4"/>
      <c r="AC100" s="5"/>
    </row>
    <row r="101" spans="1:29"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P101" s="1"/>
      <c r="Q101" s="4"/>
      <c r="R101" s="1"/>
      <c r="S101" s="1"/>
      <c r="T101" s="1"/>
      <c r="U101" s="1"/>
      <c r="V101" s="1"/>
      <c r="W101" s="5"/>
      <c r="X101" s="5"/>
      <c r="Y101" s="1"/>
      <c r="Z101" s="1"/>
      <c r="AA101" s="1"/>
      <c r="AB101" s="4"/>
      <c r="AC101" s="5"/>
    </row>
    <row r="102" spans="1:29"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P102" s="1"/>
      <c r="Q102" s="4"/>
      <c r="R102" s="1"/>
      <c r="S102" s="1"/>
      <c r="T102" s="1"/>
      <c r="U102" s="1"/>
      <c r="V102" s="1"/>
      <c r="W102" s="5"/>
      <c r="X102" s="5"/>
      <c r="Y102" s="1"/>
      <c r="Z102" s="1"/>
      <c r="AA102" s="1"/>
      <c r="AB102" s="4"/>
      <c r="AC102" s="5"/>
    </row>
    <row r="103" spans="1:29"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P103" s="1"/>
      <c r="Q103" s="4"/>
      <c r="R103" s="1"/>
      <c r="S103" s="1"/>
      <c r="T103" s="1"/>
      <c r="U103" s="1"/>
      <c r="V103" s="1"/>
      <c r="W103" s="5"/>
      <c r="X103" s="5"/>
      <c r="Y103" s="1"/>
      <c r="Z103" s="1"/>
      <c r="AA103" s="1"/>
      <c r="AB103" s="4"/>
      <c r="AC103" s="5"/>
    </row>
    <row r="104" spans="1:29"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P104" s="1"/>
      <c r="Q104" s="4"/>
      <c r="R104" s="1"/>
      <c r="S104" s="1"/>
      <c r="T104" s="1"/>
      <c r="U104" s="1"/>
      <c r="V104" s="1"/>
      <c r="W104" s="5"/>
      <c r="X104" s="5"/>
      <c r="Y104" s="1"/>
      <c r="Z104" s="1"/>
      <c r="AA104" s="1"/>
      <c r="AB104" s="4"/>
      <c r="AC104" s="5"/>
    </row>
    <row r="105" spans="1:29"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P105" s="1"/>
      <c r="Q105" s="4"/>
      <c r="R105" s="1"/>
      <c r="S105" s="1"/>
      <c r="T105" s="1"/>
      <c r="U105" s="1"/>
      <c r="V105" s="1"/>
      <c r="W105" s="5"/>
      <c r="X105" s="5"/>
      <c r="Y105" s="1"/>
      <c r="Z105" s="1"/>
      <c r="AA105" s="1"/>
      <c r="AB105" s="4"/>
      <c r="AC105" s="5"/>
    </row>
    <row r="106" spans="1:29"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P106" s="1"/>
      <c r="Q106" s="4"/>
      <c r="R106" s="1"/>
      <c r="S106" s="1"/>
      <c r="T106" s="1"/>
      <c r="U106" s="1"/>
      <c r="V106" s="1"/>
      <c r="W106" s="5"/>
      <c r="X106" s="5"/>
      <c r="Y106" s="1"/>
      <c r="Z106" s="1"/>
      <c r="AA106" s="1"/>
      <c r="AB106" s="4"/>
      <c r="AC106" s="5"/>
    </row>
    <row r="107" spans="1:29"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P107" s="1"/>
      <c r="Q107" s="4"/>
      <c r="R107" s="1"/>
      <c r="S107" s="1"/>
      <c r="T107" s="1"/>
      <c r="U107" s="1"/>
      <c r="V107" s="1"/>
      <c r="W107" s="5"/>
      <c r="X107" s="5"/>
      <c r="Y107" s="1"/>
      <c r="Z107" s="1"/>
      <c r="AA107" s="1"/>
      <c r="AB107" s="4"/>
      <c r="AC107" s="5"/>
    </row>
    <row r="108" spans="1:29"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P108" s="1"/>
      <c r="Q108" s="4"/>
      <c r="R108" s="1"/>
      <c r="S108" s="1"/>
      <c r="T108" s="1"/>
      <c r="U108" s="1"/>
      <c r="V108" s="1"/>
      <c r="W108" s="5"/>
      <c r="X108" s="5"/>
      <c r="Y108" s="1"/>
      <c r="Z108" s="1"/>
      <c r="AA108" s="1"/>
      <c r="AB108" s="4"/>
      <c r="AC108" s="5"/>
    </row>
    <row r="109" spans="1:29"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P109" s="1"/>
      <c r="Q109" s="4"/>
      <c r="R109" s="1"/>
      <c r="S109" s="1"/>
      <c r="T109" s="1"/>
      <c r="U109" s="1"/>
      <c r="V109" s="1"/>
      <c r="W109" s="5"/>
      <c r="X109" s="5"/>
      <c r="Y109" s="1"/>
      <c r="Z109" s="1"/>
      <c r="AA109" s="1"/>
      <c r="AB109" s="4"/>
      <c r="AC109" s="5"/>
    </row>
    <row r="110" spans="1:29"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P110" s="1"/>
      <c r="Q110" s="4"/>
      <c r="R110" s="1"/>
      <c r="S110" s="1"/>
      <c r="T110" s="1"/>
      <c r="U110" s="1"/>
      <c r="V110" s="1"/>
      <c r="W110" s="5"/>
      <c r="X110" s="5"/>
      <c r="Y110" s="1"/>
      <c r="Z110" s="1"/>
      <c r="AA110" s="1"/>
      <c r="AB110" s="4"/>
      <c r="AC110" s="5"/>
    </row>
    <row r="111" spans="1:29"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P111" s="1"/>
      <c r="Q111" s="4"/>
      <c r="R111" s="1"/>
      <c r="S111" s="1"/>
      <c r="T111" s="1"/>
      <c r="U111" s="1"/>
      <c r="V111" s="1"/>
      <c r="W111" s="5"/>
      <c r="X111" s="5"/>
      <c r="Y111" s="1"/>
      <c r="Z111" s="1"/>
      <c r="AA111" s="1"/>
      <c r="AB111" s="4"/>
      <c r="AC111" s="5"/>
    </row>
    <row r="112" spans="1:29"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P112" s="1"/>
      <c r="Q112" s="4"/>
      <c r="R112" s="1"/>
      <c r="S112" s="1"/>
      <c r="T112" s="1"/>
      <c r="U112" s="1"/>
      <c r="V112" s="1"/>
      <c r="W112" s="5"/>
      <c r="X112" s="5"/>
      <c r="Y112" s="1"/>
      <c r="Z112" s="1"/>
      <c r="AA112" s="1"/>
      <c r="AB112" s="4"/>
      <c r="AC112" s="5"/>
    </row>
    <row r="113" spans="1:29"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P113" s="1"/>
      <c r="Q113" s="4"/>
      <c r="R113" s="1"/>
      <c r="S113" s="1"/>
      <c r="T113" s="1"/>
      <c r="U113" s="1"/>
      <c r="V113" s="1"/>
      <c r="W113" s="5"/>
      <c r="X113" s="5"/>
      <c r="Y113" s="1"/>
      <c r="Z113" s="1"/>
      <c r="AA113" s="1"/>
      <c r="AB113" s="4"/>
      <c r="AC113" s="5"/>
    </row>
    <row r="114" spans="1:29"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P114" s="1"/>
      <c r="Q114" s="4"/>
      <c r="R114" s="1"/>
      <c r="S114" s="1"/>
      <c r="T114" s="1"/>
      <c r="U114" s="1"/>
      <c r="V114" s="1"/>
      <c r="W114" s="5"/>
      <c r="X114" s="5"/>
      <c r="Y114" s="1"/>
      <c r="Z114" s="1"/>
      <c r="AA114" s="1"/>
      <c r="AB114" s="4"/>
      <c r="AC114" s="5"/>
    </row>
    <row r="115" spans="1:29"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P115" s="1"/>
      <c r="Q115" s="4"/>
      <c r="R115" s="1"/>
      <c r="S115" s="1"/>
      <c r="T115" s="1"/>
      <c r="U115" s="1"/>
      <c r="V115" s="1"/>
      <c r="W115" s="5"/>
      <c r="X115" s="5"/>
      <c r="Y115" s="1"/>
      <c r="Z115" s="1"/>
      <c r="AA115" s="1"/>
      <c r="AB115" s="4"/>
      <c r="AC115" s="5"/>
    </row>
    <row r="116" spans="1:29"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P116" s="1"/>
      <c r="Q116" s="4"/>
      <c r="R116" s="1"/>
      <c r="S116" s="1"/>
      <c r="T116" s="1"/>
      <c r="U116" s="1"/>
      <c r="V116" s="1"/>
      <c r="W116" s="5"/>
      <c r="X116" s="5"/>
      <c r="Y116" s="1"/>
      <c r="Z116" s="1"/>
      <c r="AA116" s="1"/>
      <c r="AB116" s="4"/>
      <c r="AC116" s="5"/>
    </row>
    <row r="117" spans="1:29"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P117" s="1"/>
      <c r="Q117" s="4"/>
      <c r="R117" s="1"/>
      <c r="S117" s="1"/>
      <c r="T117" s="1"/>
      <c r="U117" s="1"/>
      <c r="V117" s="1"/>
      <c r="W117" s="5"/>
      <c r="X117" s="5"/>
      <c r="Y117" s="1"/>
      <c r="Z117" s="1"/>
      <c r="AA117" s="1"/>
      <c r="AB117" s="4"/>
      <c r="AC117" s="5"/>
    </row>
    <row r="118" spans="1:29"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P118" s="1"/>
      <c r="Q118" s="4"/>
      <c r="R118" s="1"/>
      <c r="S118" s="1"/>
      <c r="T118" s="1"/>
      <c r="U118" s="1"/>
      <c r="V118" s="1"/>
      <c r="W118" s="5"/>
      <c r="X118" s="5"/>
      <c r="Y118" s="1"/>
      <c r="Z118" s="1"/>
      <c r="AA118" s="1"/>
      <c r="AB118" s="4"/>
      <c r="AC118" s="5"/>
    </row>
    <row r="119" spans="1:29"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P119" s="1"/>
      <c r="Q119" s="4"/>
      <c r="R119" s="1"/>
      <c r="S119" s="1"/>
      <c r="T119" s="1"/>
      <c r="U119" s="1"/>
      <c r="V119" s="1"/>
      <c r="W119" s="5"/>
      <c r="X119" s="5"/>
      <c r="Y119" s="1"/>
      <c r="Z119" s="1"/>
      <c r="AA119" s="1"/>
      <c r="AB119" s="4"/>
      <c r="AC119" s="5"/>
    </row>
    <row r="120" spans="1:29"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P120" s="1"/>
      <c r="Q120" s="4"/>
      <c r="R120" s="1"/>
      <c r="S120" s="1"/>
      <c r="T120" s="1"/>
      <c r="U120" s="1"/>
      <c r="V120" s="1"/>
      <c r="W120" s="5"/>
      <c r="X120" s="5"/>
      <c r="Y120" s="1"/>
      <c r="Z120" s="1"/>
      <c r="AA120" s="1"/>
      <c r="AB120" s="4"/>
      <c r="AC120" s="5"/>
    </row>
    <row r="121" spans="1:29"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P121" s="1"/>
      <c r="Q121" s="4"/>
      <c r="R121" s="1"/>
      <c r="S121" s="1"/>
      <c r="T121" s="1"/>
      <c r="U121" s="1"/>
      <c r="V121" s="1"/>
      <c r="W121" s="5"/>
      <c r="X121" s="5"/>
      <c r="Y121" s="1"/>
      <c r="Z121" s="1"/>
      <c r="AA121" s="1"/>
      <c r="AB121" s="4"/>
      <c r="AC121" s="5"/>
    </row>
    <row r="122" spans="1:29"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P122" s="1"/>
      <c r="Q122" s="4"/>
      <c r="R122" s="1"/>
      <c r="S122" s="1"/>
      <c r="T122" s="1"/>
      <c r="U122" s="1"/>
      <c r="V122" s="1"/>
      <c r="W122" s="5"/>
      <c r="X122" s="5"/>
      <c r="Y122" s="1"/>
      <c r="Z122" s="1"/>
      <c r="AA122" s="1"/>
      <c r="AB122" s="4"/>
      <c r="AC122" s="5"/>
    </row>
    <row r="123" spans="1:29"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P123" s="1"/>
      <c r="Q123" s="4"/>
      <c r="R123" s="1"/>
      <c r="S123" s="1"/>
      <c r="T123" s="1"/>
      <c r="U123" s="1"/>
      <c r="V123" s="1"/>
      <c r="W123" s="5"/>
      <c r="X123" s="5"/>
      <c r="Y123" s="1"/>
      <c r="Z123" s="1"/>
      <c r="AA123" s="1"/>
      <c r="AB123" s="4"/>
      <c r="AC123" s="5"/>
    </row>
    <row r="124" spans="1:29"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P124" s="1"/>
      <c r="Q124" s="4"/>
      <c r="R124" s="1"/>
      <c r="S124" s="1"/>
      <c r="T124" s="1"/>
      <c r="U124" s="1"/>
      <c r="V124" s="1"/>
      <c r="W124" s="5"/>
      <c r="X124" s="5"/>
      <c r="Y124" s="1"/>
      <c r="Z124" s="1"/>
      <c r="AA124" s="1"/>
      <c r="AB124" s="4"/>
      <c r="AC124" s="5"/>
    </row>
    <row r="125" spans="1:29"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P125" s="1"/>
      <c r="Q125" s="4"/>
      <c r="R125" s="1"/>
      <c r="S125" s="1"/>
      <c r="T125" s="1"/>
      <c r="U125" s="1"/>
      <c r="V125" s="1"/>
      <c r="W125" s="5"/>
      <c r="X125" s="5"/>
      <c r="Y125" s="1"/>
      <c r="Z125" s="1"/>
      <c r="AA125" s="1"/>
      <c r="AB125" s="4"/>
      <c r="AC125" s="5"/>
    </row>
    <row r="126" spans="1:29"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P126" s="1"/>
      <c r="Q126" s="4"/>
      <c r="R126" s="1"/>
      <c r="S126" s="1"/>
      <c r="T126" s="1"/>
      <c r="U126" s="1"/>
      <c r="V126" s="1"/>
      <c r="W126" s="5"/>
      <c r="X126" s="5"/>
      <c r="Y126" s="1"/>
      <c r="Z126" s="1"/>
      <c r="AA126" s="1"/>
      <c r="AB126" s="4"/>
      <c r="AC126" s="5"/>
    </row>
    <row r="127" spans="1:29"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P127" s="1"/>
      <c r="Q127" s="4"/>
      <c r="R127" s="1"/>
      <c r="S127" s="1"/>
      <c r="T127" s="1"/>
      <c r="U127" s="1"/>
      <c r="V127" s="1"/>
      <c r="W127" s="5"/>
      <c r="X127" s="5"/>
      <c r="Y127" s="1"/>
      <c r="Z127" s="1"/>
      <c r="AA127" s="1"/>
      <c r="AB127" s="4"/>
      <c r="AC127" s="5"/>
    </row>
    <row r="128" spans="1:29"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P128" s="1"/>
      <c r="Q128" s="4"/>
      <c r="R128" s="1"/>
      <c r="S128" s="1"/>
      <c r="T128" s="1"/>
      <c r="U128" s="1"/>
      <c r="V128" s="1"/>
      <c r="W128" s="5"/>
      <c r="X128" s="5"/>
      <c r="Y128" s="1"/>
      <c r="Z128" s="1"/>
      <c r="AA128" s="1"/>
      <c r="AB128" s="4"/>
      <c r="AC128" s="5"/>
    </row>
    <row r="129" spans="1:29"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P129" s="1"/>
      <c r="Q129" s="4"/>
      <c r="R129" s="1"/>
      <c r="S129" s="1"/>
      <c r="T129" s="1"/>
      <c r="U129" s="1"/>
      <c r="V129" s="1"/>
      <c r="W129" s="5"/>
      <c r="X129" s="5"/>
      <c r="Y129" s="1"/>
      <c r="Z129" s="1"/>
      <c r="AA129" s="1"/>
      <c r="AB129" s="4"/>
      <c r="AC129" s="5"/>
    </row>
    <row r="130" spans="1:29"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P130" s="1"/>
      <c r="Q130" s="4"/>
      <c r="R130" s="1"/>
      <c r="S130" s="1"/>
      <c r="T130" s="1"/>
      <c r="U130" s="1"/>
      <c r="V130" s="1"/>
      <c r="W130" s="5"/>
      <c r="X130" s="5"/>
      <c r="Y130" s="1"/>
      <c r="Z130" s="1"/>
      <c r="AA130" s="1"/>
      <c r="AB130" s="4"/>
      <c r="AC130" s="5"/>
    </row>
    <row r="131" spans="1:29"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P131" s="1"/>
      <c r="Q131" s="4"/>
      <c r="R131" s="1"/>
      <c r="S131" s="1"/>
      <c r="T131" s="1"/>
      <c r="U131" s="1"/>
      <c r="V131" s="1"/>
      <c r="W131" s="5"/>
      <c r="X131" s="5"/>
      <c r="Y131" s="1"/>
      <c r="Z131" s="1"/>
      <c r="AA131" s="1"/>
      <c r="AB131" s="4"/>
      <c r="AC131" s="5"/>
    </row>
    <row r="132" spans="1:29"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P132" s="1"/>
      <c r="Q132" s="4"/>
      <c r="R132" s="1"/>
      <c r="S132" s="1"/>
      <c r="T132" s="1"/>
      <c r="U132" s="1"/>
      <c r="V132" s="1"/>
      <c r="W132" s="5"/>
      <c r="X132" s="5"/>
      <c r="Y132" s="1"/>
      <c r="Z132" s="1"/>
      <c r="AA132" s="1"/>
      <c r="AB132" s="4"/>
      <c r="AC132" s="5"/>
    </row>
    <row r="133" spans="1:29"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P133" s="1"/>
      <c r="Q133" s="4"/>
      <c r="R133" s="1"/>
      <c r="S133" s="1"/>
      <c r="T133" s="1"/>
      <c r="U133" s="1"/>
      <c r="V133" s="1"/>
      <c r="W133" s="5"/>
      <c r="X133" s="5"/>
      <c r="Y133" s="1"/>
      <c r="Z133" s="1"/>
      <c r="AA133" s="1"/>
      <c r="AB133" s="4"/>
      <c r="AC133" s="5"/>
    </row>
    <row r="134" spans="1:29"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P134" s="1"/>
      <c r="Q134" s="4"/>
      <c r="R134" s="1"/>
      <c r="S134" s="1"/>
      <c r="T134" s="1"/>
      <c r="U134" s="1"/>
      <c r="V134" s="1"/>
      <c r="W134" s="5"/>
      <c r="X134" s="5"/>
      <c r="Y134" s="1"/>
      <c r="Z134" s="1"/>
      <c r="AA134" s="1"/>
      <c r="AB134" s="4"/>
      <c r="AC134" s="5"/>
    </row>
    <row r="135" spans="1:29"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P135" s="1"/>
      <c r="Q135" s="4"/>
      <c r="R135" s="1"/>
      <c r="S135" s="1"/>
      <c r="T135" s="1"/>
      <c r="U135" s="1"/>
      <c r="V135" s="1"/>
      <c r="W135" s="5"/>
      <c r="X135" s="5"/>
      <c r="Y135" s="1"/>
      <c r="Z135" s="1"/>
      <c r="AA135" s="1"/>
      <c r="AB135" s="4"/>
      <c r="AC135" s="5"/>
    </row>
    <row r="136" spans="1:29"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P136" s="1"/>
      <c r="Q136" s="4"/>
      <c r="R136" s="1"/>
      <c r="S136" s="1"/>
      <c r="T136" s="1"/>
      <c r="U136" s="1"/>
      <c r="V136" s="1"/>
      <c r="W136" s="5"/>
      <c r="X136" s="5"/>
      <c r="Y136" s="1"/>
      <c r="Z136" s="1"/>
      <c r="AA136" s="1"/>
      <c r="AB136" s="4"/>
      <c r="AC136" s="5"/>
    </row>
    <row r="137" spans="1:29"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P137" s="1"/>
      <c r="Q137" s="4"/>
      <c r="R137" s="1"/>
      <c r="S137" s="1"/>
      <c r="T137" s="1"/>
      <c r="U137" s="1"/>
      <c r="V137" s="1"/>
      <c r="W137" s="5"/>
      <c r="X137" s="5"/>
      <c r="Y137" s="1"/>
      <c r="Z137" s="1"/>
      <c r="AA137" s="1"/>
      <c r="AB137" s="4"/>
      <c r="AC137" s="5"/>
    </row>
    <row r="138" spans="1:29"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P138" s="1"/>
      <c r="Q138" s="4"/>
      <c r="R138" s="1"/>
      <c r="S138" s="1"/>
      <c r="T138" s="1"/>
      <c r="U138" s="1"/>
      <c r="V138" s="1"/>
      <c r="W138" s="5"/>
      <c r="X138" s="5"/>
      <c r="Y138" s="1"/>
      <c r="Z138" s="1"/>
      <c r="AA138" s="1"/>
      <c r="AB138" s="4"/>
      <c r="AC138" s="5"/>
    </row>
    <row r="139" spans="1:29"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P139" s="1"/>
      <c r="Q139" s="4"/>
      <c r="R139" s="1"/>
      <c r="S139" s="1"/>
      <c r="T139" s="1"/>
      <c r="U139" s="1"/>
      <c r="V139" s="1"/>
      <c r="W139" s="5"/>
      <c r="X139" s="5"/>
      <c r="Y139" s="1"/>
      <c r="Z139" s="1"/>
      <c r="AA139" s="1"/>
      <c r="AB139" s="4"/>
      <c r="AC139" s="5"/>
    </row>
    <row r="140" spans="1:29"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P140" s="1"/>
      <c r="Q140" s="4"/>
      <c r="R140" s="1"/>
      <c r="S140" s="1"/>
      <c r="T140" s="1"/>
      <c r="U140" s="1"/>
      <c r="V140" s="1"/>
      <c r="W140" s="5"/>
      <c r="X140" s="5"/>
      <c r="Y140" s="1"/>
      <c r="Z140" s="1"/>
      <c r="AA140" s="1"/>
      <c r="AB140" s="4"/>
      <c r="AC140" s="5"/>
    </row>
    <row r="141" spans="1:29"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P141" s="1"/>
      <c r="Q141" s="4"/>
      <c r="R141" s="1"/>
      <c r="S141" s="1"/>
      <c r="T141" s="1"/>
      <c r="U141" s="1"/>
      <c r="V141" s="1"/>
      <c r="W141" s="5"/>
      <c r="X141" s="5"/>
      <c r="Y141" s="1"/>
      <c r="Z141" s="1"/>
      <c r="AA141" s="1"/>
      <c r="AB141" s="4"/>
      <c r="AC141" s="5"/>
    </row>
    <row r="142" spans="1:29"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P142" s="1"/>
      <c r="Q142" s="4"/>
      <c r="R142" s="1"/>
      <c r="S142" s="1"/>
      <c r="T142" s="1"/>
      <c r="U142" s="1"/>
      <c r="V142" s="1"/>
      <c r="W142" s="5"/>
      <c r="X142" s="5"/>
      <c r="Y142" s="1"/>
      <c r="Z142" s="1"/>
      <c r="AA142" s="1"/>
      <c r="AB142" s="4"/>
      <c r="AC142" s="5"/>
    </row>
    <row r="143" spans="1:29"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P143" s="1"/>
      <c r="Q143" s="4"/>
      <c r="R143" s="1"/>
      <c r="S143" s="1"/>
      <c r="T143" s="1"/>
      <c r="U143" s="1"/>
      <c r="V143" s="1"/>
      <c r="W143" s="5"/>
      <c r="X143" s="5"/>
      <c r="Y143" s="1"/>
      <c r="Z143" s="1"/>
      <c r="AA143" s="1"/>
      <c r="AB143" s="4"/>
      <c r="AC143" s="5"/>
    </row>
    <row r="144" spans="1:29"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P144" s="1"/>
      <c r="Q144" s="4"/>
      <c r="R144" s="1"/>
      <c r="S144" s="1"/>
      <c r="T144" s="1"/>
      <c r="U144" s="1"/>
      <c r="V144" s="1"/>
      <c r="W144" s="5"/>
      <c r="X144" s="5"/>
      <c r="Y144" s="1"/>
      <c r="Z144" s="1"/>
      <c r="AA144" s="1"/>
      <c r="AB144" s="4"/>
      <c r="AC144" s="5"/>
    </row>
    <row r="145" spans="1:29"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P145" s="1"/>
      <c r="Q145" s="4"/>
      <c r="R145" s="1"/>
      <c r="S145" s="1"/>
      <c r="T145" s="1"/>
      <c r="U145" s="1"/>
      <c r="V145" s="1"/>
      <c r="W145" s="5"/>
      <c r="X145" s="5"/>
      <c r="Y145" s="1"/>
      <c r="Z145" s="1"/>
      <c r="AA145" s="1"/>
      <c r="AB145" s="4"/>
      <c r="AC145" s="5"/>
    </row>
    <row r="146" spans="1:29"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P146" s="1"/>
      <c r="Q146" s="4"/>
      <c r="R146" s="1"/>
      <c r="S146" s="1"/>
      <c r="T146" s="1"/>
      <c r="U146" s="1"/>
      <c r="V146" s="1"/>
      <c r="W146" s="5"/>
      <c r="X146" s="5"/>
      <c r="Y146" s="1"/>
      <c r="Z146" s="1"/>
      <c r="AA146" s="1"/>
      <c r="AB146" s="4"/>
      <c r="AC146" s="5"/>
    </row>
    <row r="147" spans="1:29"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P147" s="1"/>
      <c r="Q147" s="4"/>
      <c r="R147" s="1"/>
      <c r="S147" s="1"/>
      <c r="T147" s="1"/>
      <c r="U147" s="1"/>
      <c r="V147" s="1"/>
      <c r="W147" s="5"/>
      <c r="X147" s="5"/>
      <c r="Y147" s="1"/>
      <c r="Z147" s="1"/>
      <c r="AA147" s="1"/>
      <c r="AB147" s="4"/>
      <c r="AC147" s="5"/>
    </row>
    <row r="148" spans="1:29"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P148" s="1"/>
      <c r="Q148" s="4"/>
      <c r="R148" s="1"/>
      <c r="S148" s="1"/>
      <c r="T148" s="1"/>
      <c r="U148" s="1"/>
      <c r="V148" s="1"/>
      <c r="W148" s="5"/>
      <c r="X148" s="5"/>
      <c r="Y148" s="1"/>
      <c r="Z148" s="1"/>
      <c r="AA148" s="1"/>
      <c r="AB148" s="4"/>
      <c r="AC148" s="5"/>
    </row>
    <row r="149" spans="1:29"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P149" s="1"/>
      <c r="Q149" s="4"/>
      <c r="R149" s="1"/>
      <c r="S149" s="1"/>
      <c r="T149" s="1"/>
      <c r="U149" s="1"/>
      <c r="V149" s="1"/>
      <c r="W149" s="5"/>
      <c r="X149" s="5"/>
      <c r="Y149" s="1"/>
      <c r="Z149" s="1"/>
      <c r="AA149" s="1"/>
      <c r="AB149" s="4"/>
      <c r="AC149" s="5"/>
    </row>
    <row r="150" spans="1:29"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P150" s="1"/>
      <c r="Q150" s="4"/>
      <c r="R150" s="1"/>
      <c r="S150" s="1"/>
      <c r="T150" s="1"/>
      <c r="U150" s="1"/>
      <c r="V150" s="1"/>
      <c r="W150" s="5"/>
      <c r="X150" s="5"/>
      <c r="Y150" s="1"/>
      <c r="Z150" s="1"/>
      <c r="AA150" s="1"/>
      <c r="AB150" s="4"/>
      <c r="AC150" s="5"/>
    </row>
    <row r="151" spans="1:29"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P151" s="1"/>
      <c r="Q151" s="4"/>
      <c r="R151" s="1"/>
      <c r="S151" s="1"/>
      <c r="T151" s="1"/>
      <c r="U151" s="1"/>
      <c r="V151" s="1"/>
      <c r="W151" s="5"/>
      <c r="X151" s="5"/>
      <c r="Y151" s="1"/>
      <c r="Z151" s="1"/>
      <c r="AA151" s="1"/>
      <c r="AB151" s="4"/>
      <c r="AC151" s="5"/>
    </row>
    <row r="152" spans="1:29"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P152" s="1"/>
      <c r="Q152" s="4"/>
      <c r="R152" s="1"/>
      <c r="S152" s="1"/>
      <c r="T152" s="1"/>
      <c r="U152" s="1"/>
      <c r="V152" s="1"/>
      <c r="W152" s="5"/>
      <c r="X152" s="5"/>
      <c r="Y152" s="1"/>
      <c r="Z152" s="1"/>
      <c r="AA152" s="1"/>
      <c r="AB152" s="4"/>
      <c r="AC152" s="5"/>
    </row>
    <row r="153" spans="1:29"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P153" s="1"/>
      <c r="Q153" s="4"/>
      <c r="R153" s="1"/>
      <c r="S153" s="1"/>
      <c r="T153" s="1"/>
      <c r="U153" s="1"/>
      <c r="V153" s="1"/>
      <c r="W153" s="5"/>
      <c r="X153" s="5"/>
      <c r="Y153" s="1"/>
      <c r="Z153" s="1"/>
      <c r="AA153" s="1"/>
      <c r="AB153" s="4"/>
      <c r="AC153" s="5"/>
    </row>
    <row r="154" spans="1:29"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P154" s="1"/>
      <c r="Q154" s="4"/>
      <c r="R154" s="1"/>
      <c r="S154" s="1"/>
      <c r="T154" s="1"/>
      <c r="U154" s="1"/>
      <c r="V154" s="1"/>
      <c r="W154" s="5"/>
      <c r="X154" s="5"/>
      <c r="Y154" s="1"/>
      <c r="Z154" s="1"/>
      <c r="AA154" s="1"/>
      <c r="AB154" s="4"/>
      <c r="AC154" s="5"/>
    </row>
    <row r="155" spans="1:29"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P155" s="1"/>
      <c r="Q155" s="4"/>
      <c r="R155" s="1"/>
      <c r="S155" s="1"/>
      <c r="T155" s="1"/>
      <c r="U155" s="1"/>
      <c r="V155" s="1"/>
      <c r="W155" s="5"/>
      <c r="X155" s="5"/>
      <c r="Y155" s="1"/>
      <c r="Z155" s="1"/>
      <c r="AA155" s="1"/>
      <c r="AB155" s="4"/>
      <c r="AC155" s="5"/>
    </row>
    <row r="156" spans="1:29"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P156" s="1"/>
      <c r="Q156" s="4"/>
      <c r="R156" s="1"/>
      <c r="S156" s="1"/>
      <c r="T156" s="1"/>
      <c r="U156" s="1"/>
      <c r="V156" s="1"/>
      <c r="W156" s="5"/>
      <c r="X156" s="5"/>
      <c r="Y156" s="1"/>
      <c r="Z156" s="1"/>
      <c r="AA156" s="1"/>
      <c r="AB156" s="4"/>
      <c r="AC156" s="5"/>
    </row>
    <row r="157" spans="1:29"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P157" s="1"/>
      <c r="Q157" s="4"/>
      <c r="R157" s="1"/>
      <c r="S157" s="1"/>
      <c r="T157" s="1"/>
      <c r="U157" s="1"/>
      <c r="V157" s="1"/>
      <c r="W157" s="5"/>
      <c r="X157" s="5"/>
      <c r="Y157" s="1"/>
      <c r="Z157" s="1"/>
      <c r="AA157" s="1"/>
      <c r="AB157" s="4"/>
      <c r="AC157" s="5"/>
    </row>
    <row r="158" spans="1:29"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P158" s="1"/>
      <c r="Q158" s="4"/>
      <c r="R158" s="1"/>
      <c r="S158" s="1"/>
      <c r="T158" s="1"/>
      <c r="U158" s="1"/>
      <c r="V158" s="1"/>
      <c r="W158" s="5"/>
      <c r="X158" s="5"/>
      <c r="Y158" s="1"/>
      <c r="Z158" s="1"/>
      <c r="AA158" s="1"/>
      <c r="AB158" s="4"/>
      <c r="AC158" s="5"/>
    </row>
    <row r="159" spans="1:29"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P159" s="1"/>
      <c r="Q159" s="4"/>
      <c r="R159" s="1"/>
      <c r="S159" s="1"/>
      <c r="T159" s="1"/>
      <c r="U159" s="1"/>
      <c r="V159" s="1"/>
      <c r="W159" s="5"/>
      <c r="X159" s="5"/>
      <c r="Y159" s="1"/>
      <c r="Z159" s="1"/>
      <c r="AA159" s="1"/>
      <c r="AB159" s="4"/>
      <c r="AC159" s="5"/>
    </row>
    <row r="160" spans="1:29"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P160" s="1"/>
      <c r="Q160" s="4"/>
      <c r="R160" s="1"/>
      <c r="S160" s="1"/>
      <c r="T160" s="1"/>
      <c r="U160" s="1"/>
      <c r="V160" s="1"/>
      <c r="W160" s="5"/>
      <c r="X160" s="5"/>
      <c r="Y160" s="1"/>
      <c r="Z160" s="1"/>
      <c r="AA160" s="1"/>
      <c r="AB160" s="4"/>
      <c r="AC160" s="5"/>
    </row>
    <row r="161" spans="1:29"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P161" s="1"/>
      <c r="Q161" s="4"/>
      <c r="R161" s="1"/>
      <c r="S161" s="1"/>
      <c r="T161" s="1"/>
      <c r="U161" s="1"/>
      <c r="V161" s="1"/>
      <c r="W161" s="5"/>
      <c r="X161" s="5"/>
      <c r="Y161" s="1"/>
      <c r="Z161" s="1"/>
      <c r="AA161" s="1"/>
      <c r="AB161" s="4"/>
      <c r="AC161" s="5"/>
    </row>
    <row r="162" spans="1:29"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P162" s="1"/>
      <c r="Q162" s="4"/>
      <c r="R162" s="1"/>
      <c r="S162" s="1"/>
      <c r="T162" s="1"/>
      <c r="U162" s="1"/>
      <c r="V162" s="1"/>
      <c r="W162" s="5"/>
      <c r="X162" s="5"/>
      <c r="Y162" s="1"/>
      <c r="Z162" s="1"/>
      <c r="AA162" s="1"/>
      <c r="AB162" s="4"/>
      <c r="AC162" s="5"/>
    </row>
    <row r="163" spans="1:29"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P163" s="1"/>
      <c r="Q163" s="4"/>
      <c r="R163" s="1"/>
      <c r="S163" s="1"/>
      <c r="T163" s="1"/>
      <c r="U163" s="1"/>
      <c r="V163" s="1"/>
      <c r="W163" s="5"/>
      <c r="X163" s="5"/>
      <c r="Y163" s="1"/>
      <c r="Z163" s="1"/>
      <c r="AA163" s="1"/>
      <c r="AB163" s="4"/>
      <c r="AC163" s="5"/>
    </row>
    <row r="164" spans="1:29"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P164" s="1"/>
      <c r="Q164" s="4"/>
      <c r="R164" s="1"/>
      <c r="S164" s="1"/>
      <c r="T164" s="1"/>
      <c r="U164" s="1"/>
      <c r="V164" s="1"/>
      <c r="W164" s="5"/>
      <c r="X164" s="5"/>
      <c r="Y164" s="1"/>
      <c r="Z164" s="1"/>
      <c r="AA164" s="1"/>
      <c r="AB164" s="4"/>
      <c r="AC164" s="5"/>
    </row>
    <row r="165" spans="1:29"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P165" s="1"/>
      <c r="Q165" s="4"/>
      <c r="R165" s="1"/>
      <c r="S165" s="1"/>
      <c r="T165" s="1"/>
      <c r="U165" s="1"/>
      <c r="V165" s="1"/>
      <c r="W165" s="5"/>
      <c r="X165" s="5"/>
      <c r="Y165" s="1"/>
      <c r="Z165" s="1"/>
      <c r="AA165" s="1"/>
      <c r="AB165" s="4"/>
      <c r="AC165" s="5"/>
    </row>
    <row r="166" spans="1:29"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P166" s="1"/>
      <c r="Q166" s="4"/>
      <c r="R166" s="1"/>
      <c r="S166" s="1"/>
      <c r="T166" s="1"/>
      <c r="U166" s="1"/>
      <c r="V166" s="1"/>
      <c r="W166" s="5"/>
      <c r="X166" s="5"/>
      <c r="Y166" s="1"/>
      <c r="Z166" s="1"/>
      <c r="AA166" s="1"/>
      <c r="AB166" s="4"/>
      <c r="AC166" s="5"/>
    </row>
    <row r="167" spans="1:29"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P167" s="1"/>
      <c r="Q167" s="4"/>
      <c r="R167" s="1"/>
      <c r="S167" s="1"/>
      <c r="T167" s="1"/>
      <c r="U167" s="1"/>
      <c r="V167" s="1"/>
      <c r="W167" s="5"/>
      <c r="X167" s="5"/>
      <c r="Y167" s="1"/>
      <c r="Z167" s="1"/>
      <c r="AA167" s="1"/>
      <c r="AB167" s="4"/>
      <c r="AC167" s="5"/>
    </row>
    <row r="168" spans="1:29"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P168" s="1"/>
      <c r="Q168" s="4"/>
      <c r="R168" s="1"/>
      <c r="S168" s="1"/>
      <c r="T168" s="1"/>
      <c r="U168" s="1"/>
      <c r="V168" s="1"/>
      <c r="W168" s="5"/>
      <c r="X168" s="5"/>
      <c r="Y168" s="1"/>
      <c r="Z168" s="1"/>
      <c r="AA168" s="1"/>
      <c r="AB168" s="4"/>
      <c r="AC168" s="5"/>
    </row>
    <row r="169" spans="1:29"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P169" s="1"/>
      <c r="Q169" s="4"/>
      <c r="R169" s="1"/>
      <c r="S169" s="1"/>
      <c r="T169" s="1"/>
      <c r="U169" s="1"/>
      <c r="V169" s="1"/>
      <c r="W169" s="5"/>
      <c r="X169" s="5"/>
      <c r="Y169" s="1"/>
      <c r="Z169" s="1"/>
      <c r="AA169" s="1"/>
      <c r="AB169" s="4"/>
      <c r="AC169" s="5"/>
    </row>
    <row r="170" spans="1:29"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P170" s="1"/>
      <c r="Q170" s="4"/>
      <c r="R170" s="1"/>
      <c r="S170" s="1"/>
      <c r="T170" s="1"/>
      <c r="U170" s="1"/>
      <c r="V170" s="1"/>
      <c r="W170" s="5"/>
      <c r="X170" s="5"/>
      <c r="Y170" s="1"/>
      <c r="Z170" s="1"/>
      <c r="AA170" s="1"/>
      <c r="AB170" s="4"/>
      <c r="AC170" s="5"/>
    </row>
    <row r="171" spans="1:29"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P171" s="1"/>
      <c r="Q171" s="4"/>
      <c r="R171" s="1"/>
      <c r="S171" s="1"/>
      <c r="T171" s="1"/>
      <c r="U171" s="1"/>
      <c r="V171" s="1"/>
      <c r="W171" s="5"/>
      <c r="X171" s="5"/>
      <c r="Y171" s="1"/>
      <c r="Z171" s="1"/>
      <c r="AA171" s="1"/>
      <c r="AB171" s="4"/>
      <c r="AC171" s="5"/>
    </row>
    <row r="172" spans="1:29"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P172" s="1"/>
      <c r="Q172" s="4"/>
      <c r="R172" s="1"/>
      <c r="S172" s="1"/>
      <c r="T172" s="1"/>
      <c r="U172" s="1"/>
      <c r="V172" s="1"/>
      <c r="W172" s="5"/>
      <c r="X172" s="5"/>
      <c r="Y172" s="1"/>
      <c r="Z172" s="1"/>
      <c r="AA172" s="1"/>
      <c r="AB172" s="4"/>
      <c r="AC172" s="5"/>
    </row>
    <row r="173" spans="1:29"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P173" s="1"/>
      <c r="Q173" s="4"/>
      <c r="R173" s="1"/>
      <c r="S173" s="1"/>
      <c r="T173" s="1"/>
      <c r="U173" s="1"/>
      <c r="V173" s="1"/>
      <c r="W173" s="5"/>
      <c r="X173" s="5"/>
      <c r="Y173" s="1"/>
      <c r="Z173" s="1"/>
      <c r="AA173" s="1"/>
      <c r="AB173" s="4"/>
      <c r="AC173" s="5"/>
    </row>
    <row r="174" spans="1:29"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P174" s="1"/>
      <c r="Q174" s="4"/>
      <c r="R174" s="1"/>
      <c r="S174" s="1"/>
      <c r="T174" s="1"/>
      <c r="U174" s="1"/>
      <c r="V174" s="1"/>
      <c r="W174" s="5"/>
      <c r="X174" s="5"/>
      <c r="Y174" s="1"/>
      <c r="Z174" s="1"/>
      <c r="AA174" s="1"/>
      <c r="AB174" s="4"/>
      <c r="AC174" s="5"/>
    </row>
    <row r="175" spans="1:29"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P175" s="1"/>
      <c r="Q175" s="4"/>
      <c r="R175" s="1"/>
      <c r="S175" s="1"/>
      <c r="T175" s="1"/>
      <c r="U175" s="1"/>
      <c r="V175" s="1"/>
      <c r="W175" s="5"/>
      <c r="X175" s="5"/>
      <c r="Y175" s="1"/>
      <c r="Z175" s="1"/>
      <c r="AA175" s="1"/>
      <c r="AB175" s="4"/>
      <c r="AC175" s="5"/>
    </row>
    <row r="176" spans="1:29"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P176" s="1"/>
      <c r="Q176" s="4"/>
      <c r="R176" s="1"/>
      <c r="S176" s="1"/>
      <c r="T176" s="1"/>
      <c r="U176" s="1"/>
      <c r="V176" s="1"/>
      <c r="W176" s="5"/>
      <c r="X176" s="5"/>
      <c r="Y176" s="1"/>
      <c r="Z176" s="1"/>
      <c r="AA176" s="1"/>
      <c r="AB176" s="4"/>
      <c r="AC176" s="5"/>
    </row>
    <row r="177" spans="1:29"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P177" s="1"/>
      <c r="Q177" s="4"/>
      <c r="R177" s="1"/>
      <c r="S177" s="1"/>
      <c r="T177" s="1"/>
      <c r="U177" s="1"/>
      <c r="V177" s="1"/>
      <c r="W177" s="5"/>
      <c r="X177" s="5"/>
      <c r="Y177" s="1"/>
      <c r="Z177" s="1"/>
      <c r="AA177" s="1"/>
      <c r="AB177" s="4"/>
      <c r="AC177" s="5"/>
    </row>
    <row r="178" spans="1:29"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P178" s="1"/>
      <c r="Q178" s="4"/>
      <c r="R178" s="1"/>
      <c r="S178" s="1"/>
      <c r="T178" s="1"/>
      <c r="U178" s="1"/>
      <c r="V178" s="1"/>
      <c r="W178" s="5"/>
      <c r="X178" s="5"/>
      <c r="Y178" s="1"/>
      <c r="Z178" s="1"/>
      <c r="AA178" s="1"/>
      <c r="AB178" s="4"/>
      <c r="AC178" s="5"/>
    </row>
    <row r="179" spans="1:29"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P179" s="1"/>
      <c r="Q179" s="4"/>
      <c r="R179" s="1"/>
      <c r="S179" s="1"/>
      <c r="T179" s="1"/>
      <c r="U179" s="1"/>
      <c r="V179" s="1"/>
      <c r="W179" s="5"/>
      <c r="X179" s="5"/>
      <c r="Y179" s="1"/>
      <c r="Z179" s="1"/>
      <c r="AA179" s="1"/>
      <c r="AB179" s="4"/>
      <c r="AC179" s="5"/>
    </row>
    <row r="180" spans="1:29"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P180" s="1"/>
      <c r="Q180" s="4"/>
      <c r="R180" s="1"/>
      <c r="S180" s="1"/>
      <c r="T180" s="1"/>
      <c r="U180" s="1"/>
      <c r="V180" s="1"/>
      <c r="W180" s="5"/>
      <c r="X180" s="5"/>
      <c r="Y180" s="1"/>
      <c r="Z180" s="1"/>
      <c r="AA180" s="1"/>
      <c r="AB180" s="4"/>
      <c r="AC180" s="5"/>
    </row>
    <row r="181" spans="1:29"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P181" s="1"/>
      <c r="Q181" s="4"/>
      <c r="R181" s="1"/>
      <c r="S181" s="1"/>
      <c r="T181" s="1"/>
      <c r="U181" s="1"/>
      <c r="V181" s="1"/>
      <c r="W181" s="5"/>
      <c r="X181" s="5"/>
      <c r="Y181" s="1"/>
      <c r="Z181" s="1"/>
      <c r="AA181" s="1"/>
      <c r="AB181" s="4"/>
      <c r="AC181" s="5"/>
    </row>
    <row r="182" spans="1:29"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P182" s="1"/>
      <c r="Q182" s="4"/>
      <c r="R182" s="1"/>
      <c r="S182" s="1"/>
      <c r="T182" s="1"/>
      <c r="U182" s="1"/>
      <c r="V182" s="1"/>
      <c r="W182" s="5"/>
      <c r="X182" s="5"/>
      <c r="Y182" s="1"/>
      <c r="Z182" s="1"/>
      <c r="AA182" s="1"/>
      <c r="AB182" s="4"/>
      <c r="AC182" s="5"/>
    </row>
    <row r="183" spans="1:29"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P183" s="1"/>
      <c r="Q183" s="4"/>
      <c r="R183" s="1"/>
      <c r="S183" s="1"/>
      <c r="T183" s="1"/>
      <c r="U183" s="1"/>
      <c r="V183" s="1"/>
      <c r="W183" s="5"/>
      <c r="X183" s="5"/>
      <c r="Y183" s="1"/>
      <c r="Z183" s="1"/>
      <c r="AA183" s="1"/>
      <c r="AB183" s="4"/>
      <c r="AC183" s="5"/>
    </row>
    <row r="184" spans="1:29"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P184" s="1"/>
      <c r="Q184" s="4"/>
      <c r="R184" s="1"/>
      <c r="S184" s="1"/>
      <c r="T184" s="1"/>
      <c r="U184" s="1"/>
      <c r="V184" s="1"/>
      <c r="W184" s="5"/>
      <c r="X184" s="5"/>
      <c r="Y184" s="1"/>
      <c r="Z184" s="1"/>
      <c r="AA184" s="1"/>
      <c r="AB184" s="4"/>
      <c r="AC184" s="5"/>
    </row>
    <row r="185" spans="1:29"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P185" s="1"/>
      <c r="Q185" s="4"/>
      <c r="R185" s="1"/>
      <c r="S185" s="1"/>
      <c r="T185" s="1"/>
      <c r="U185" s="1"/>
      <c r="V185" s="1"/>
      <c r="W185" s="5"/>
      <c r="X185" s="5"/>
      <c r="Y185" s="1"/>
      <c r="Z185" s="1"/>
      <c r="AA185" s="1"/>
      <c r="AB185" s="4"/>
      <c r="AC185" s="5"/>
    </row>
    <row r="186" spans="1:29"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P186" s="1"/>
      <c r="Q186" s="4"/>
      <c r="R186" s="1"/>
      <c r="S186" s="1"/>
      <c r="T186" s="1"/>
      <c r="U186" s="1"/>
      <c r="V186" s="1"/>
      <c r="W186" s="5"/>
      <c r="X186" s="5"/>
      <c r="Y186" s="1"/>
      <c r="Z186" s="1"/>
      <c r="AA186" s="1"/>
      <c r="AB186" s="4"/>
      <c r="AC186" s="5"/>
    </row>
    <row r="187" spans="1:29"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P187" s="1"/>
      <c r="Q187" s="4"/>
      <c r="R187" s="1"/>
      <c r="S187" s="1"/>
      <c r="T187" s="1"/>
      <c r="U187" s="1"/>
      <c r="V187" s="1"/>
      <c r="W187" s="5"/>
      <c r="X187" s="5"/>
      <c r="Y187" s="1"/>
      <c r="Z187" s="1"/>
      <c r="AA187" s="1"/>
      <c r="AB187" s="4"/>
      <c r="AC187" s="5"/>
    </row>
    <row r="188" spans="1:29"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P188" s="1"/>
      <c r="Q188" s="4"/>
      <c r="R188" s="1"/>
      <c r="S188" s="1"/>
      <c r="T188" s="1"/>
      <c r="U188" s="1"/>
      <c r="V188" s="1"/>
      <c r="W188" s="5"/>
      <c r="X188" s="5"/>
      <c r="Y188" s="1"/>
      <c r="Z188" s="1"/>
      <c r="AA188" s="1"/>
      <c r="AB188" s="4"/>
      <c r="AC188" s="5"/>
    </row>
    <row r="189" spans="1:29"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P189" s="1"/>
      <c r="Q189" s="4"/>
      <c r="R189" s="1"/>
      <c r="S189" s="1"/>
      <c r="T189" s="1"/>
      <c r="U189" s="1"/>
      <c r="V189" s="1"/>
      <c r="W189" s="5"/>
      <c r="X189" s="5"/>
      <c r="Y189" s="1"/>
      <c r="Z189" s="1"/>
      <c r="AA189" s="1"/>
      <c r="AB189" s="4"/>
      <c r="AC189" s="5"/>
    </row>
    <row r="190" spans="1:29"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P190" s="1"/>
      <c r="Q190" s="4"/>
      <c r="R190" s="1"/>
      <c r="S190" s="1"/>
      <c r="T190" s="1"/>
      <c r="U190" s="1"/>
      <c r="V190" s="1"/>
      <c r="W190" s="5"/>
      <c r="X190" s="5"/>
      <c r="Y190" s="1"/>
      <c r="Z190" s="1"/>
      <c r="AA190" s="1"/>
      <c r="AB190" s="4"/>
      <c r="AC190" s="5"/>
    </row>
    <row r="191" spans="1:29"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P191" s="1"/>
      <c r="Q191" s="4"/>
      <c r="R191" s="1"/>
      <c r="S191" s="1"/>
      <c r="T191" s="1"/>
      <c r="U191" s="1"/>
      <c r="V191" s="1"/>
      <c r="W191" s="5"/>
      <c r="X191" s="5"/>
      <c r="Y191" s="1"/>
      <c r="Z191" s="1"/>
      <c r="AA191" s="1"/>
      <c r="AB191" s="4"/>
      <c r="AC191" s="5"/>
    </row>
    <row r="192" spans="1:29"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P192" s="1"/>
      <c r="Q192" s="4"/>
      <c r="R192" s="1"/>
      <c r="S192" s="1"/>
      <c r="T192" s="1"/>
      <c r="U192" s="1"/>
      <c r="V192" s="1"/>
      <c r="W192" s="5"/>
      <c r="X192" s="5"/>
      <c r="Y192" s="1"/>
      <c r="Z192" s="1"/>
      <c r="AA192" s="1"/>
      <c r="AB192" s="4"/>
      <c r="AC192" s="5"/>
    </row>
    <row r="193" spans="1:29"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P193" s="1"/>
      <c r="Q193" s="4"/>
      <c r="R193" s="1"/>
      <c r="S193" s="1"/>
      <c r="T193" s="1"/>
      <c r="U193" s="1"/>
      <c r="V193" s="1"/>
      <c r="W193" s="5"/>
      <c r="X193" s="5"/>
      <c r="Y193" s="1"/>
      <c r="Z193" s="1"/>
      <c r="AA193" s="1"/>
      <c r="AB193" s="4"/>
      <c r="AC193" s="5"/>
    </row>
    <row r="194" spans="1:29"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P194" s="1"/>
      <c r="Q194" s="4"/>
      <c r="R194" s="1"/>
      <c r="S194" s="1"/>
      <c r="T194" s="1"/>
      <c r="U194" s="1"/>
      <c r="V194" s="1"/>
      <c r="W194" s="5"/>
      <c r="X194" s="5"/>
      <c r="Y194" s="1"/>
      <c r="Z194" s="1"/>
      <c r="AA194" s="1"/>
      <c r="AB194" s="4"/>
      <c r="AC194" s="5"/>
    </row>
    <row r="195" spans="1:29"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P195" s="1"/>
      <c r="Q195" s="4"/>
      <c r="R195" s="1"/>
      <c r="S195" s="1"/>
      <c r="T195" s="1"/>
      <c r="U195" s="1"/>
      <c r="V195" s="1"/>
      <c r="W195" s="5"/>
      <c r="X195" s="5"/>
      <c r="Y195" s="1"/>
      <c r="Z195" s="1"/>
      <c r="AA195" s="1"/>
      <c r="AB195" s="4"/>
      <c r="AC195" s="5"/>
    </row>
    <row r="196" spans="1:29"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P196" s="1"/>
      <c r="Q196" s="4"/>
      <c r="R196" s="1"/>
      <c r="S196" s="1"/>
      <c r="T196" s="1"/>
      <c r="U196" s="1"/>
      <c r="V196" s="1"/>
      <c r="W196" s="5"/>
      <c r="X196" s="5"/>
      <c r="Y196" s="1"/>
      <c r="Z196" s="1"/>
      <c r="AA196" s="1"/>
      <c r="AB196" s="4"/>
      <c r="AC196" s="5"/>
    </row>
    <row r="197" spans="1:29"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P197" s="1"/>
      <c r="Q197" s="4"/>
      <c r="R197" s="1"/>
      <c r="S197" s="1"/>
      <c r="T197" s="1"/>
      <c r="U197" s="1"/>
      <c r="V197" s="1"/>
      <c r="W197" s="5"/>
      <c r="X197" s="5"/>
      <c r="Y197" s="1"/>
      <c r="Z197" s="1"/>
      <c r="AA197" s="1"/>
      <c r="AB197" s="4"/>
      <c r="AC197" s="5"/>
    </row>
    <row r="198" spans="1:29"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P198" s="1"/>
      <c r="Q198" s="4"/>
      <c r="R198" s="1"/>
      <c r="S198" s="1"/>
      <c r="T198" s="1"/>
      <c r="U198" s="1"/>
      <c r="V198" s="1"/>
      <c r="W198" s="5"/>
      <c r="X198" s="5"/>
      <c r="Y198" s="1"/>
      <c r="Z198" s="1"/>
      <c r="AA198" s="1"/>
      <c r="AB198" s="4"/>
      <c r="AC198" s="5"/>
    </row>
    <row r="199" spans="1:29"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P199" s="1"/>
      <c r="Q199" s="4"/>
      <c r="R199" s="1"/>
      <c r="S199" s="1"/>
      <c r="T199" s="1"/>
      <c r="U199" s="1"/>
      <c r="V199" s="1"/>
      <c r="W199" s="5"/>
      <c r="X199" s="5"/>
      <c r="Y199" s="1"/>
      <c r="Z199" s="1"/>
      <c r="AA199" s="1"/>
      <c r="AB199" s="4"/>
      <c r="AC199" s="5"/>
    </row>
    <row r="200" spans="1:29"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P200" s="1"/>
      <c r="Q200" s="4"/>
      <c r="R200" s="1"/>
      <c r="S200" s="1"/>
      <c r="T200" s="1"/>
      <c r="U200" s="1"/>
      <c r="V200" s="1"/>
      <c r="W200" s="5"/>
      <c r="X200" s="5"/>
      <c r="Y200" s="1"/>
      <c r="Z200" s="1"/>
      <c r="AA200" s="1"/>
      <c r="AB200" s="4"/>
      <c r="AC200" s="5"/>
    </row>
    <row r="201" spans="1:29"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P201" s="1"/>
      <c r="Q201" s="4"/>
      <c r="R201" s="1"/>
      <c r="S201" s="1"/>
      <c r="T201" s="1"/>
      <c r="U201" s="1"/>
      <c r="V201" s="1"/>
      <c r="W201" s="5"/>
      <c r="X201" s="5"/>
      <c r="Y201" s="1"/>
      <c r="Z201" s="1"/>
      <c r="AA201" s="1"/>
      <c r="AB201" s="4"/>
      <c r="AC201" s="5"/>
    </row>
    <row r="202" spans="1:29"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P202" s="1"/>
      <c r="Q202" s="4"/>
      <c r="R202" s="1"/>
      <c r="S202" s="1"/>
      <c r="T202" s="1"/>
      <c r="U202" s="1"/>
      <c r="V202" s="1"/>
      <c r="W202" s="5"/>
      <c r="X202" s="5"/>
      <c r="Y202" s="1"/>
      <c r="Z202" s="1"/>
      <c r="AA202" s="1"/>
      <c r="AB202" s="4"/>
      <c r="AC202" s="5"/>
    </row>
    <row r="203" spans="1:29"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P203" s="1"/>
      <c r="Q203" s="4"/>
      <c r="R203" s="1"/>
      <c r="S203" s="1"/>
      <c r="T203" s="1"/>
      <c r="U203" s="1"/>
      <c r="V203" s="1"/>
      <c r="W203" s="5"/>
      <c r="X203" s="5"/>
      <c r="Y203" s="1"/>
      <c r="Z203" s="1"/>
      <c r="AA203" s="1"/>
      <c r="AB203" s="4"/>
      <c r="AC203" s="5"/>
    </row>
    <row r="204" spans="1:29"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P204" s="1"/>
      <c r="Q204" s="4"/>
      <c r="R204" s="1"/>
      <c r="S204" s="1"/>
      <c r="T204" s="1"/>
      <c r="U204" s="1"/>
      <c r="V204" s="1"/>
      <c r="W204" s="5"/>
      <c r="X204" s="5"/>
      <c r="Y204" s="1"/>
      <c r="Z204" s="1"/>
      <c r="AA204" s="1"/>
      <c r="AB204" s="4"/>
      <c r="AC204" s="5"/>
    </row>
    <row r="205" spans="1:29"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P205" s="1"/>
      <c r="Q205" s="4"/>
      <c r="R205" s="1"/>
      <c r="S205" s="1"/>
      <c r="T205" s="1"/>
      <c r="U205" s="1"/>
      <c r="V205" s="1"/>
      <c r="W205" s="5"/>
      <c r="X205" s="5"/>
      <c r="Y205" s="1"/>
      <c r="Z205" s="1"/>
      <c r="AA205" s="1"/>
      <c r="AB205" s="4"/>
      <c r="AC205" s="5"/>
    </row>
    <row r="206" spans="1:29"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P206" s="1"/>
      <c r="Q206" s="4"/>
      <c r="R206" s="1"/>
      <c r="S206" s="1"/>
      <c r="T206" s="1"/>
      <c r="U206" s="1"/>
      <c r="V206" s="1"/>
      <c r="W206" s="5"/>
      <c r="X206" s="5"/>
      <c r="Y206" s="1"/>
      <c r="Z206" s="1"/>
      <c r="AA206" s="1"/>
      <c r="AB206" s="4"/>
      <c r="AC206" s="5"/>
    </row>
    <row r="207" spans="1:29"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P207" s="1"/>
      <c r="Q207" s="4"/>
      <c r="R207" s="1"/>
      <c r="S207" s="1"/>
      <c r="T207" s="1"/>
      <c r="U207" s="1"/>
      <c r="V207" s="1"/>
      <c r="W207" s="5"/>
      <c r="X207" s="5"/>
      <c r="Y207" s="1"/>
      <c r="Z207" s="1"/>
      <c r="AA207" s="1"/>
      <c r="AB207" s="4"/>
      <c r="AC207" s="5"/>
    </row>
    <row r="208" spans="1:29"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P208" s="1"/>
      <c r="Q208" s="4"/>
      <c r="R208" s="1"/>
      <c r="S208" s="1"/>
      <c r="T208" s="1"/>
      <c r="U208" s="1"/>
      <c r="V208" s="1"/>
      <c r="W208" s="5"/>
      <c r="X208" s="5"/>
      <c r="Y208" s="1"/>
      <c r="Z208" s="1"/>
      <c r="AA208" s="1"/>
      <c r="AB208" s="4"/>
      <c r="AC208" s="5"/>
    </row>
    <row r="209" spans="1:29"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P209" s="1"/>
      <c r="Q209" s="4"/>
      <c r="R209" s="1"/>
      <c r="S209" s="1"/>
      <c r="T209" s="1"/>
      <c r="U209" s="1"/>
      <c r="V209" s="1"/>
      <c r="W209" s="5"/>
      <c r="X209" s="5"/>
      <c r="Y209" s="1"/>
      <c r="Z209" s="1"/>
      <c r="AA209" s="1"/>
      <c r="AB209" s="4"/>
      <c r="AC209" s="5"/>
    </row>
    <row r="210" spans="1:29"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P210" s="1"/>
      <c r="Q210" s="4"/>
      <c r="R210" s="1"/>
      <c r="S210" s="1"/>
      <c r="T210" s="1"/>
      <c r="U210" s="1"/>
      <c r="V210" s="1"/>
      <c r="W210" s="5"/>
      <c r="X210" s="5"/>
      <c r="Y210" s="1"/>
      <c r="Z210" s="1"/>
      <c r="AA210" s="1"/>
      <c r="AB210" s="4"/>
      <c r="AC210" s="5"/>
    </row>
    <row r="211" spans="1:29"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P211" s="1"/>
      <c r="Q211" s="4"/>
      <c r="R211" s="1"/>
      <c r="S211" s="1"/>
      <c r="T211" s="1"/>
      <c r="U211" s="1"/>
      <c r="V211" s="1"/>
      <c r="W211" s="5"/>
      <c r="X211" s="5"/>
      <c r="Y211" s="1"/>
      <c r="Z211" s="1"/>
      <c r="AA211" s="1"/>
      <c r="AB211" s="4"/>
      <c r="AC211" s="5"/>
    </row>
    <row r="212" spans="1:29"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P212" s="1"/>
      <c r="Q212" s="4"/>
      <c r="R212" s="1"/>
      <c r="S212" s="1"/>
      <c r="T212" s="1"/>
      <c r="U212" s="1"/>
      <c r="V212" s="1"/>
      <c r="W212" s="5"/>
      <c r="X212" s="5"/>
      <c r="Y212" s="1"/>
      <c r="Z212" s="1"/>
      <c r="AA212" s="1"/>
      <c r="AB212" s="4"/>
      <c r="AC212" s="5"/>
    </row>
    <row r="213" spans="1:29"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P213" s="1"/>
      <c r="Q213" s="4"/>
      <c r="R213" s="1"/>
      <c r="S213" s="1"/>
      <c r="T213" s="1"/>
      <c r="U213" s="1"/>
      <c r="V213" s="1"/>
      <c r="W213" s="5"/>
      <c r="X213" s="5"/>
      <c r="Y213" s="1"/>
      <c r="Z213" s="1"/>
      <c r="AA213" s="1"/>
      <c r="AB213" s="4"/>
      <c r="AC213" s="5"/>
    </row>
    <row r="214" spans="1:29"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P214" s="1"/>
      <c r="Q214" s="4"/>
      <c r="R214" s="1"/>
      <c r="S214" s="1"/>
      <c r="T214" s="1"/>
      <c r="U214" s="1"/>
      <c r="V214" s="1"/>
      <c r="W214" s="5"/>
      <c r="X214" s="5"/>
      <c r="Y214" s="1"/>
      <c r="Z214" s="1"/>
      <c r="AA214" s="1"/>
      <c r="AB214" s="4"/>
      <c r="AC214" s="5"/>
    </row>
    <row r="215" spans="1:29"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P215" s="1"/>
      <c r="Q215" s="4"/>
      <c r="R215" s="1"/>
      <c r="S215" s="1"/>
      <c r="T215" s="1"/>
      <c r="U215" s="1"/>
      <c r="V215" s="1"/>
      <c r="W215" s="5"/>
      <c r="X215" s="5"/>
      <c r="Y215" s="1"/>
      <c r="Z215" s="1"/>
      <c r="AA215" s="1"/>
      <c r="AB215" s="4"/>
      <c r="AC215" s="5"/>
    </row>
    <row r="216" spans="1:29"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P216" s="1"/>
      <c r="Q216" s="4"/>
      <c r="R216" s="1"/>
      <c r="S216" s="1"/>
      <c r="T216" s="1"/>
      <c r="U216" s="1"/>
      <c r="V216" s="1"/>
      <c r="W216" s="5"/>
      <c r="X216" s="5"/>
      <c r="Y216" s="1"/>
      <c r="Z216" s="1"/>
      <c r="AA216" s="1"/>
      <c r="AB216" s="4"/>
      <c r="AC216" s="5"/>
    </row>
    <row r="217" spans="1:29"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P217" s="1"/>
      <c r="Q217" s="4"/>
      <c r="R217" s="1"/>
      <c r="S217" s="1"/>
      <c r="T217" s="1"/>
      <c r="U217" s="1"/>
      <c r="V217" s="1"/>
      <c r="W217" s="5"/>
      <c r="X217" s="5"/>
      <c r="Y217" s="1"/>
      <c r="Z217" s="1"/>
      <c r="AA217" s="1"/>
      <c r="AB217" s="4"/>
      <c r="AC217" s="5"/>
    </row>
    <row r="218" spans="1:29"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P218" s="1"/>
      <c r="Q218" s="4"/>
      <c r="R218" s="1"/>
      <c r="S218" s="1"/>
      <c r="T218" s="1"/>
      <c r="U218" s="1"/>
      <c r="V218" s="1"/>
      <c r="W218" s="5"/>
      <c r="X218" s="5"/>
      <c r="Y218" s="1"/>
      <c r="Z218" s="1"/>
      <c r="AA218" s="1"/>
      <c r="AB218" s="4"/>
      <c r="AC218" s="5"/>
    </row>
    <row r="219" spans="1:29"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P219" s="1"/>
      <c r="Q219" s="4"/>
      <c r="R219" s="1"/>
      <c r="S219" s="1"/>
      <c r="T219" s="1"/>
      <c r="U219" s="1"/>
      <c r="V219" s="1"/>
      <c r="W219" s="5"/>
      <c r="X219" s="5"/>
      <c r="Y219" s="1"/>
      <c r="Z219" s="1"/>
      <c r="AA219" s="1"/>
      <c r="AB219" s="4"/>
      <c r="AC219" s="5"/>
    </row>
    <row r="220" spans="1:29"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P220" s="1"/>
      <c r="Q220" s="4"/>
      <c r="R220" s="1"/>
      <c r="S220" s="1"/>
      <c r="T220" s="1"/>
      <c r="U220" s="1"/>
      <c r="V220" s="1"/>
      <c r="W220" s="5"/>
      <c r="X220" s="5"/>
      <c r="Y220" s="1"/>
      <c r="Z220" s="1"/>
      <c r="AA220" s="1"/>
      <c r="AB220" s="4"/>
      <c r="AC220" s="5"/>
    </row>
    <row r="221" spans="1:29"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P221" s="1"/>
      <c r="Q221" s="4"/>
      <c r="R221" s="1"/>
      <c r="S221" s="1"/>
      <c r="T221" s="1"/>
      <c r="U221" s="1"/>
      <c r="V221" s="1"/>
      <c r="W221" s="5"/>
      <c r="X221" s="5"/>
      <c r="Y221" s="1"/>
      <c r="Z221" s="1"/>
      <c r="AA221" s="1"/>
      <c r="AB221" s="4"/>
      <c r="AC221" s="5"/>
    </row>
    <row r="222" spans="1:29"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P222" s="1"/>
      <c r="Q222" s="4"/>
      <c r="R222" s="1"/>
      <c r="S222" s="1"/>
      <c r="T222" s="1"/>
      <c r="U222" s="1"/>
      <c r="V222" s="1"/>
      <c r="W222" s="5"/>
      <c r="X222" s="5"/>
      <c r="Y222" s="1"/>
      <c r="Z222" s="1"/>
      <c r="AA222" s="1"/>
      <c r="AB222" s="4"/>
      <c r="AC222" s="5"/>
    </row>
    <row r="223" spans="1:29"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P223" s="1"/>
      <c r="Q223" s="4"/>
      <c r="R223" s="1"/>
      <c r="S223" s="1"/>
      <c r="T223" s="1"/>
      <c r="U223" s="1"/>
      <c r="V223" s="1"/>
      <c r="W223" s="5"/>
      <c r="X223" s="5"/>
      <c r="Y223" s="1"/>
      <c r="Z223" s="1"/>
      <c r="AA223" s="1"/>
      <c r="AB223" s="4"/>
      <c r="AC223" s="5"/>
    </row>
    <row r="224" spans="1:29"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P224" s="1"/>
      <c r="Q224" s="4"/>
      <c r="R224" s="1"/>
      <c r="S224" s="1"/>
      <c r="T224" s="1"/>
      <c r="U224" s="1"/>
      <c r="V224" s="1"/>
      <c r="W224" s="5"/>
      <c r="X224" s="5"/>
      <c r="Y224" s="1"/>
      <c r="Z224" s="1"/>
      <c r="AA224" s="1"/>
      <c r="AB224" s="4"/>
      <c r="AC224" s="5"/>
    </row>
    <row r="225" spans="1:29"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P225" s="1"/>
      <c r="Q225" s="4"/>
      <c r="R225" s="1"/>
      <c r="S225" s="1"/>
      <c r="T225" s="1"/>
      <c r="U225" s="1"/>
      <c r="V225" s="1"/>
      <c r="W225" s="5"/>
      <c r="X225" s="5"/>
      <c r="Y225" s="1"/>
      <c r="Z225" s="1"/>
      <c r="AA225" s="1"/>
      <c r="AB225" s="4"/>
      <c r="AC225" s="5"/>
    </row>
    <row r="226" spans="1:29"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P226" s="1"/>
      <c r="Q226" s="4"/>
      <c r="R226" s="1"/>
      <c r="S226" s="1"/>
      <c r="T226" s="1"/>
      <c r="U226" s="1"/>
      <c r="V226" s="1"/>
      <c r="W226" s="5"/>
      <c r="X226" s="5"/>
      <c r="Y226" s="1"/>
      <c r="Z226" s="1"/>
      <c r="AA226" s="1"/>
      <c r="AB226" s="4"/>
      <c r="AC226" s="5"/>
    </row>
    <row r="227" spans="1:29"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P227" s="1"/>
      <c r="Q227" s="4"/>
      <c r="R227" s="1"/>
      <c r="S227" s="1"/>
      <c r="T227" s="1"/>
      <c r="U227" s="1"/>
      <c r="V227" s="1"/>
      <c r="W227" s="5"/>
      <c r="X227" s="5"/>
      <c r="Y227" s="1"/>
      <c r="Z227" s="1"/>
      <c r="AA227" s="1"/>
      <c r="AB227" s="4"/>
      <c r="AC227" s="5"/>
    </row>
    <row r="228" spans="1:29"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P228" s="1"/>
      <c r="Q228" s="4"/>
      <c r="R228" s="1"/>
      <c r="S228" s="1"/>
      <c r="T228" s="1"/>
      <c r="U228" s="1"/>
      <c r="V228" s="1"/>
      <c r="W228" s="5"/>
      <c r="X228" s="5"/>
      <c r="Y228" s="1"/>
      <c r="Z228" s="1"/>
      <c r="AA228" s="1"/>
      <c r="AB228" s="4"/>
      <c r="AC228" s="5"/>
    </row>
    <row r="229" spans="1:29"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P229" s="1"/>
      <c r="Q229" s="4"/>
      <c r="R229" s="1"/>
      <c r="S229" s="1"/>
      <c r="T229" s="1"/>
      <c r="U229" s="1"/>
      <c r="V229" s="1"/>
      <c r="W229" s="5"/>
      <c r="X229" s="5"/>
      <c r="Y229" s="1"/>
      <c r="Z229" s="1"/>
      <c r="AA229" s="1"/>
      <c r="AB229" s="4"/>
      <c r="AC229" s="5"/>
    </row>
    <row r="230" spans="1:29"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P230" s="1"/>
      <c r="Q230" s="4"/>
      <c r="R230" s="1"/>
      <c r="S230" s="1"/>
      <c r="T230" s="1"/>
      <c r="U230" s="1"/>
      <c r="V230" s="1"/>
      <c r="W230" s="5"/>
      <c r="X230" s="5"/>
      <c r="Y230" s="1"/>
      <c r="Z230" s="1"/>
      <c r="AA230" s="1"/>
      <c r="AB230" s="4"/>
      <c r="AC230" s="5"/>
    </row>
    <row r="231" spans="1:29"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P231" s="1"/>
      <c r="Q231" s="4"/>
      <c r="R231" s="1"/>
      <c r="S231" s="1"/>
      <c r="T231" s="1"/>
      <c r="U231" s="1"/>
      <c r="V231" s="1"/>
      <c r="W231" s="5"/>
      <c r="X231" s="5"/>
      <c r="Y231" s="1"/>
      <c r="Z231" s="1"/>
      <c r="AA231" s="1"/>
      <c r="AB231" s="4"/>
      <c r="AC231" s="5"/>
    </row>
    <row r="232" spans="1:29"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P232" s="1"/>
      <c r="Q232" s="4"/>
      <c r="R232" s="1"/>
      <c r="S232" s="1"/>
      <c r="T232" s="1"/>
      <c r="U232" s="1"/>
      <c r="V232" s="1"/>
      <c r="W232" s="5"/>
      <c r="X232" s="5"/>
      <c r="Y232" s="1"/>
      <c r="Z232" s="1"/>
      <c r="AA232" s="1"/>
      <c r="AB232" s="4"/>
      <c r="AC232" s="5"/>
    </row>
    <row r="233" spans="1:29"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P233" s="1"/>
      <c r="Q233" s="4"/>
      <c r="R233" s="1"/>
      <c r="S233" s="1"/>
      <c r="T233" s="1"/>
      <c r="U233" s="1"/>
      <c r="V233" s="1"/>
      <c r="W233" s="5"/>
      <c r="X233" s="5"/>
      <c r="Y233" s="1"/>
      <c r="Z233" s="1"/>
      <c r="AA233" s="1"/>
      <c r="AB233" s="4"/>
      <c r="AC233" s="5"/>
    </row>
    <row r="234" spans="1:29"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P234" s="1"/>
      <c r="Q234" s="4"/>
      <c r="R234" s="1"/>
      <c r="S234" s="1"/>
      <c r="T234" s="1"/>
      <c r="U234" s="1"/>
      <c r="V234" s="1"/>
      <c r="W234" s="5"/>
      <c r="X234" s="5"/>
      <c r="Y234" s="1"/>
      <c r="Z234" s="1"/>
      <c r="AA234" s="1"/>
      <c r="AB234" s="4"/>
      <c r="AC234" s="5"/>
    </row>
    <row r="235" spans="1:29"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P235" s="1"/>
      <c r="Q235" s="4"/>
      <c r="R235" s="1"/>
      <c r="S235" s="1"/>
      <c r="T235" s="1"/>
      <c r="U235" s="1"/>
      <c r="V235" s="1"/>
      <c r="W235" s="5"/>
      <c r="X235" s="5"/>
      <c r="Y235" s="1"/>
      <c r="Z235" s="1"/>
      <c r="AA235" s="1"/>
      <c r="AB235" s="4"/>
      <c r="AC235" s="5"/>
    </row>
    <row r="236" spans="1:29"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P236" s="1"/>
      <c r="Q236" s="4"/>
      <c r="R236" s="1"/>
      <c r="S236" s="1"/>
      <c r="T236" s="1"/>
      <c r="U236" s="1"/>
      <c r="V236" s="1"/>
      <c r="W236" s="5"/>
      <c r="X236" s="5"/>
      <c r="Y236" s="1"/>
      <c r="Z236" s="1"/>
      <c r="AA236" s="1"/>
      <c r="AB236" s="4"/>
      <c r="AC236" s="5"/>
    </row>
    <row r="237" spans="1:29"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P237" s="1"/>
      <c r="Q237" s="4"/>
      <c r="R237" s="1"/>
      <c r="S237" s="1"/>
      <c r="T237" s="1"/>
      <c r="U237" s="1"/>
      <c r="V237" s="1"/>
      <c r="W237" s="5"/>
      <c r="X237" s="5"/>
      <c r="Y237" s="1"/>
      <c r="Z237" s="1"/>
      <c r="AA237" s="1"/>
      <c r="AB237" s="4"/>
      <c r="AC237" s="5"/>
    </row>
    <row r="238" spans="1:29"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P238" s="1"/>
      <c r="Q238" s="4"/>
      <c r="R238" s="1"/>
      <c r="S238" s="1"/>
      <c r="T238" s="1"/>
      <c r="U238" s="1"/>
      <c r="V238" s="1"/>
      <c r="W238" s="5"/>
      <c r="X238" s="5"/>
      <c r="Y238" s="1"/>
      <c r="Z238" s="1"/>
      <c r="AA238" s="1"/>
      <c r="AB238" s="4"/>
      <c r="AC238" s="5"/>
    </row>
    <row r="239" spans="1:29"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P239" s="1"/>
      <c r="Q239" s="4"/>
      <c r="R239" s="1"/>
      <c r="S239" s="1"/>
      <c r="T239" s="1"/>
      <c r="U239" s="1"/>
      <c r="V239" s="1"/>
      <c r="W239" s="5"/>
      <c r="X239" s="5"/>
      <c r="Y239" s="1"/>
      <c r="Z239" s="1"/>
      <c r="AA239" s="1"/>
      <c r="AB239" s="4"/>
      <c r="AC239" s="5"/>
    </row>
    <row r="240" spans="1:29"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P240" s="1"/>
      <c r="Q240" s="4"/>
      <c r="R240" s="1"/>
      <c r="S240" s="1"/>
      <c r="T240" s="1"/>
      <c r="U240" s="1"/>
      <c r="V240" s="1"/>
      <c r="W240" s="5"/>
      <c r="X240" s="5"/>
      <c r="Y240" s="1"/>
      <c r="Z240" s="1"/>
      <c r="AA240" s="1"/>
      <c r="AB240" s="4"/>
      <c r="AC240" s="5"/>
    </row>
    <row r="241" spans="1:29"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P241" s="1"/>
      <c r="Q241" s="4"/>
      <c r="R241" s="1"/>
      <c r="S241" s="1"/>
      <c r="T241" s="1"/>
      <c r="U241" s="1"/>
      <c r="V241" s="1"/>
      <c r="W241" s="5"/>
      <c r="X241" s="5"/>
      <c r="Y241" s="1"/>
      <c r="Z241" s="1"/>
      <c r="AA241" s="1"/>
      <c r="AB241" s="4"/>
      <c r="AC241" s="5"/>
    </row>
    <row r="242" spans="1:29"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P242" s="1"/>
      <c r="Q242" s="4"/>
      <c r="R242" s="1"/>
      <c r="S242" s="1"/>
      <c r="T242" s="1"/>
      <c r="U242" s="1"/>
      <c r="V242" s="1"/>
      <c r="W242" s="5"/>
      <c r="X242" s="5"/>
      <c r="Y242" s="1"/>
      <c r="Z242" s="1"/>
      <c r="AA242" s="1"/>
      <c r="AB242" s="4"/>
      <c r="AC242" s="5"/>
    </row>
    <row r="243" spans="1:29"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P243" s="1"/>
      <c r="Q243" s="4"/>
      <c r="R243" s="1"/>
      <c r="S243" s="1"/>
      <c r="T243" s="1"/>
      <c r="U243" s="1"/>
      <c r="V243" s="1"/>
      <c r="W243" s="5"/>
      <c r="X243" s="5"/>
      <c r="Y243" s="1"/>
      <c r="Z243" s="1"/>
      <c r="AA243" s="1"/>
      <c r="AB243" s="4"/>
      <c r="AC243" s="5"/>
    </row>
    <row r="244" spans="1:29"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P244" s="1"/>
      <c r="Q244" s="4"/>
      <c r="R244" s="1"/>
      <c r="S244" s="1"/>
      <c r="T244" s="1"/>
      <c r="U244" s="1"/>
      <c r="V244" s="1"/>
      <c r="W244" s="5"/>
      <c r="X244" s="5"/>
      <c r="Y244" s="1"/>
      <c r="Z244" s="1"/>
      <c r="AA244" s="1"/>
      <c r="AB244" s="4"/>
      <c r="AC244" s="5"/>
    </row>
    <row r="245" spans="1:29"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P245" s="1"/>
      <c r="Q245" s="4"/>
      <c r="R245" s="1"/>
      <c r="S245" s="1"/>
      <c r="T245" s="1"/>
      <c r="U245" s="1"/>
      <c r="V245" s="1"/>
      <c r="W245" s="5"/>
      <c r="X245" s="5"/>
      <c r="Y245" s="1"/>
      <c r="Z245" s="1"/>
      <c r="AA245" s="1"/>
      <c r="AB245" s="4"/>
      <c r="AC245" s="5"/>
    </row>
    <row r="246" spans="1:29"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P246" s="1"/>
      <c r="Q246" s="4"/>
      <c r="R246" s="1"/>
      <c r="S246" s="1"/>
      <c r="T246" s="1"/>
      <c r="U246" s="1"/>
      <c r="V246" s="1"/>
      <c r="W246" s="5"/>
      <c r="X246" s="5"/>
      <c r="Y246" s="1"/>
      <c r="Z246" s="1"/>
      <c r="AA246" s="1"/>
      <c r="AB246" s="4"/>
      <c r="AC246" s="5"/>
    </row>
    <row r="247" spans="1:29"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P247" s="1"/>
      <c r="Q247" s="4"/>
      <c r="R247" s="1"/>
      <c r="S247" s="1"/>
      <c r="T247" s="1"/>
      <c r="U247" s="1"/>
      <c r="V247" s="1"/>
      <c r="W247" s="5"/>
      <c r="X247" s="5"/>
      <c r="Y247" s="1"/>
      <c r="Z247" s="1"/>
      <c r="AA247" s="1"/>
      <c r="AB247" s="4"/>
      <c r="AC247" s="5"/>
    </row>
    <row r="248" spans="1:29"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P248" s="1"/>
      <c r="Q248" s="4"/>
      <c r="R248" s="1"/>
      <c r="S248" s="1"/>
      <c r="T248" s="1"/>
      <c r="U248" s="1"/>
      <c r="V248" s="1"/>
      <c r="W248" s="5"/>
      <c r="X248" s="5"/>
      <c r="Y248" s="1"/>
      <c r="Z248" s="1"/>
      <c r="AA248" s="1"/>
      <c r="AB248" s="4"/>
      <c r="AC248" s="5"/>
    </row>
    <row r="249" spans="1:29"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P249" s="1"/>
      <c r="Q249" s="4"/>
      <c r="R249" s="1"/>
      <c r="S249" s="1"/>
      <c r="T249" s="1"/>
      <c r="U249" s="1"/>
      <c r="V249" s="1"/>
      <c r="W249" s="5"/>
      <c r="X249" s="5"/>
      <c r="Y249" s="1"/>
      <c r="Z249" s="1"/>
      <c r="AA249" s="1"/>
      <c r="AB249" s="4"/>
      <c r="AC249" s="5"/>
    </row>
    <row r="250" spans="1:29"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P250" s="1"/>
      <c r="Q250" s="4"/>
      <c r="R250" s="1"/>
      <c r="S250" s="1"/>
      <c r="T250" s="1"/>
      <c r="U250" s="1"/>
      <c r="V250" s="1"/>
      <c r="W250" s="5"/>
      <c r="X250" s="5"/>
      <c r="Y250" s="1"/>
      <c r="Z250" s="1"/>
      <c r="AA250" s="1"/>
      <c r="AB250" s="4"/>
      <c r="AC250" s="5"/>
    </row>
    <row r="251" spans="1:29"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P251" s="1"/>
      <c r="Q251" s="4"/>
      <c r="R251" s="1"/>
      <c r="S251" s="1"/>
      <c r="T251" s="1"/>
      <c r="U251" s="1"/>
      <c r="V251" s="1"/>
      <c r="W251" s="5"/>
      <c r="X251" s="5"/>
      <c r="Y251" s="1"/>
      <c r="Z251" s="1"/>
      <c r="AA251" s="1"/>
      <c r="AB251" s="4"/>
      <c r="AC251" s="5"/>
    </row>
    <row r="252" spans="1:29"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P252" s="1"/>
      <c r="Q252" s="4"/>
      <c r="R252" s="1"/>
      <c r="S252" s="1"/>
      <c r="T252" s="1"/>
      <c r="U252" s="1"/>
      <c r="V252" s="1"/>
      <c r="W252" s="5"/>
      <c r="X252" s="5"/>
      <c r="Y252" s="1"/>
      <c r="Z252" s="1"/>
      <c r="AA252" s="1"/>
      <c r="AB252" s="4"/>
      <c r="AC252" s="5"/>
    </row>
    <row r="253" spans="1:29" ht="15" thickBot="1">
      <c r="P253" s="1"/>
      <c r="Q253" s="4"/>
      <c r="R253" s="1"/>
      <c r="S253" s="1"/>
      <c r="T253" s="1"/>
      <c r="U253" s="1"/>
      <c r="V253" s="1"/>
      <c r="W253" s="5"/>
      <c r="X253" s="5"/>
      <c r="Y253" s="1"/>
      <c r="Z253" s="1"/>
      <c r="AA253" s="1"/>
      <c r="AB253" s="4"/>
      <c r="AC253" s="5"/>
    </row>
    <row r="254" spans="1:29" ht="15" thickBot="1">
      <c r="P254" s="1"/>
      <c r="Q254" s="4"/>
      <c r="R254" s="1"/>
      <c r="S254" s="1"/>
      <c r="T254" s="1"/>
      <c r="U254" s="1"/>
      <c r="V254" s="1"/>
      <c r="W254" s="5"/>
      <c r="X254" s="5"/>
      <c r="Y254" s="1"/>
      <c r="Z254" s="1"/>
      <c r="AA254" s="1"/>
      <c r="AB254" s="4"/>
      <c r="AC254" s="5"/>
    </row>
    <row r="255" spans="1:29" ht="15" thickBot="1">
      <c r="P255" s="1"/>
      <c r="Q255" s="4"/>
      <c r="R255" s="1"/>
      <c r="S255" s="1"/>
      <c r="T255" s="1"/>
      <c r="U255" s="1"/>
      <c r="V255" s="1"/>
      <c r="W255" s="5"/>
      <c r="X255" s="5"/>
      <c r="Y255" s="1"/>
      <c r="Z255" s="1"/>
      <c r="AA255" s="1"/>
      <c r="AB255" s="4"/>
      <c r="AC255" s="5"/>
    </row>
    <row r="256" spans="1:29" ht="15" thickBot="1">
      <c r="P256" s="1"/>
      <c r="Q256" s="4"/>
      <c r="R256" s="1"/>
      <c r="S256" s="1"/>
      <c r="T256" s="1"/>
      <c r="U256" s="1"/>
      <c r="V256" s="1"/>
      <c r="W256" s="5"/>
      <c r="X256" s="5"/>
      <c r="Y256" s="1"/>
      <c r="Z256" s="1"/>
      <c r="AA256" s="1"/>
      <c r="AB256" s="4"/>
      <c r="AC256" s="5"/>
    </row>
  </sheetData>
  <mergeCells count="1">
    <mergeCell ref="P3:AK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100C-D7AF-4BAC-B392-2ECF50D25347}">
  <dimension ref="A1:P252"/>
  <sheetViews>
    <sheetView workbookViewId="0">
      <selection activeCell="Q3" sqref="Q3"/>
    </sheetView>
  </sheetViews>
  <sheetFormatPr defaultRowHeight="14.4"/>
  <cols>
    <col min="2" max="2" width="10.33203125" bestFit="1" customWidth="1"/>
    <col min="13" max="13" width="10.33203125" bestFit="1" customWidth="1"/>
  </cols>
  <sheetData>
    <row r="1" spans="1:16" ht="15" thickBot="1">
      <c r="A1" t="s">
        <v>441</v>
      </c>
    </row>
    <row r="2" spans="1:16"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13" t="s">
        <v>442</v>
      </c>
      <c r="P2" s="13" t="s">
        <v>443</v>
      </c>
    </row>
    <row r="3" spans="1:16"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O3" t="str">
        <f>IF(SUMIF(C2:C2, C2, N2:N2)&gt;1000, "High Value", "Normal")</f>
        <v>Normal</v>
      </c>
      <c r="P3">
        <f>SUMIF($C$2:$C$251, C2, $N$2:$N$251)</f>
        <v>0</v>
      </c>
    </row>
    <row r="4" spans="1:16"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t="str">
        <f t="shared" ref="O4:O67" si="0">IF(SUMIF(C3:C3, C3, N3:N3)&gt;1000, "High Value", "Normal")</f>
        <v>Normal</v>
      </c>
      <c r="P4">
        <f>SUMIF($C$2:$C$251, C3, $N$2:$N$251)</f>
        <v>8309.739999999998</v>
      </c>
    </row>
    <row r="5" spans="1:16"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O5" t="str">
        <f t="shared" si="0"/>
        <v>Normal</v>
      </c>
      <c r="P5">
        <f t="shared" ref="P4:P67" si="1">SUMIF($C$2:$C$251, C4, $N$2:$N$251)</f>
        <v>6949.84</v>
      </c>
    </row>
    <row r="6" spans="1:16"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O6" t="str">
        <f t="shared" si="0"/>
        <v>Normal</v>
      </c>
      <c r="P6">
        <f t="shared" si="1"/>
        <v>3259.87</v>
      </c>
    </row>
    <row r="7" spans="1:16"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O7" t="str">
        <f t="shared" si="0"/>
        <v>Normal</v>
      </c>
      <c r="P7">
        <f t="shared" si="1"/>
        <v>4309.8099999999995</v>
      </c>
    </row>
    <row r="8" spans="1:16"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O8" t="str">
        <f t="shared" si="0"/>
        <v>Normal</v>
      </c>
      <c r="P8">
        <f t="shared" si="1"/>
        <v>6169.7400000000007</v>
      </c>
    </row>
    <row r="9" spans="1:16"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O9" t="str">
        <f t="shared" si="0"/>
        <v>Normal</v>
      </c>
      <c r="P9">
        <f t="shared" si="1"/>
        <v>8269.7900000000009</v>
      </c>
    </row>
    <row r="10" spans="1:16"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O10" t="str">
        <f t="shared" si="0"/>
        <v>Normal</v>
      </c>
      <c r="P10">
        <f t="shared" si="1"/>
        <v>8269.7900000000009</v>
      </c>
    </row>
    <row r="11" spans="1:16"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O11" t="str">
        <f t="shared" si="0"/>
        <v>Normal</v>
      </c>
      <c r="P11">
        <f t="shared" si="1"/>
        <v>5089.7300000000005</v>
      </c>
    </row>
    <row r="12" spans="1:16"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O12" t="str">
        <f t="shared" si="0"/>
        <v>High Value</v>
      </c>
      <c r="P12">
        <f t="shared" si="1"/>
        <v>3509.8999999999996</v>
      </c>
    </row>
    <row r="13" spans="1:16"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O13" t="str">
        <f t="shared" si="0"/>
        <v>Normal</v>
      </c>
      <c r="P13">
        <f t="shared" si="1"/>
        <v>8009.7699999999995</v>
      </c>
    </row>
    <row r="14" spans="1:16"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O14" t="str">
        <f t="shared" si="0"/>
        <v>Normal</v>
      </c>
      <c r="P14">
        <f t="shared" si="1"/>
        <v>1979.89</v>
      </c>
    </row>
    <row r="15" spans="1:16"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O15" t="str">
        <f t="shared" si="0"/>
        <v>Normal</v>
      </c>
      <c r="P15">
        <f t="shared" si="1"/>
        <v>4309.8099999999995</v>
      </c>
    </row>
    <row r="16" spans="1:16"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O16" t="str">
        <f t="shared" si="0"/>
        <v>Normal</v>
      </c>
      <c r="P16">
        <f t="shared" si="1"/>
        <v>5949.85</v>
      </c>
    </row>
    <row r="17" spans="1:16"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O17" t="str">
        <f t="shared" si="0"/>
        <v>Normal</v>
      </c>
      <c r="P17">
        <f t="shared" si="1"/>
        <v>479.91999999999996</v>
      </c>
    </row>
    <row r="18" spans="1:16"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O18" t="str">
        <f t="shared" si="0"/>
        <v>High Value</v>
      </c>
      <c r="P18">
        <f t="shared" si="1"/>
        <v>4199.9399999999996</v>
      </c>
    </row>
    <row r="19" spans="1:16"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O19" t="str">
        <f t="shared" si="0"/>
        <v>Normal</v>
      </c>
      <c r="P19">
        <f t="shared" si="1"/>
        <v>3779.93</v>
      </c>
    </row>
    <row r="20" spans="1:16"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O20" t="str">
        <f t="shared" si="0"/>
        <v>Normal</v>
      </c>
      <c r="P20">
        <f t="shared" si="1"/>
        <v>15659.65</v>
      </c>
    </row>
    <row r="21" spans="1:16"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O21" t="str">
        <f t="shared" si="0"/>
        <v>High Value</v>
      </c>
      <c r="P21">
        <f t="shared" si="1"/>
        <v>1909.93</v>
      </c>
    </row>
    <row r="22" spans="1:16"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O22" t="str">
        <f t="shared" si="0"/>
        <v>High Value</v>
      </c>
      <c r="P22">
        <f t="shared" si="1"/>
        <v>15659.65</v>
      </c>
    </row>
    <row r="23" spans="1:16"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O23" t="str">
        <f t="shared" si="0"/>
        <v>Normal</v>
      </c>
      <c r="P23">
        <f t="shared" si="1"/>
        <v>4789.7900000000009</v>
      </c>
    </row>
    <row r="24" spans="1:16"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O24" t="str">
        <f t="shared" si="0"/>
        <v>High Value</v>
      </c>
      <c r="P24">
        <f t="shared" si="1"/>
        <v>10649.8</v>
      </c>
    </row>
    <row r="25" spans="1:16"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O25" t="str">
        <f t="shared" si="0"/>
        <v>High Value</v>
      </c>
      <c r="P25">
        <f t="shared" si="1"/>
        <v>9799.73</v>
      </c>
    </row>
    <row r="26" spans="1:16"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O26" t="str">
        <f t="shared" si="0"/>
        <v>Normal</v>
      </c>
      <c r="P26">
        <f t="shared" si="1"/>
        <v>3769.8300000000004</v>
      </c>
    </row>
    <row r="27" spans="1:16"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O27" t="str">
        <f t="shared" si="0"/>
        <v>High Value</v>
      </c>
      <c r="P27">
        <f t="shared" si="1"/>
        <v>15659.65</v>
      </c>
    </row>
    <row r="28" spans="1:16"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O28" t="str">
        <f t="shared" si="0"/>
        <v>High Value</v>
      </c>
      <c r="P28">
        <f t="shared" si="1"/>
        <v>4189.7700000000004</v>
      </c>
    </row>
    <row r="29" spans="1:16"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O29" t="str">
        <f t="shared" si="0"/>
        <v>High Value</v>
      </c>
      <c r="P29">
        <f t="shared" si="1"/>
        <v>1979.89</v>
      </c>
    </row>
    <row r="30" spans="1:16"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O30" t="str">
        <f t="shared" si="0"/>
        <v>Normal</v>
      </c>
      <c r="P30">
        <f t="shared" si="1"/>
        <v>1289.9000000000001</v>
      </c>
    </row>
    <row r="31" spans="1:16"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O31" t="str">
        <f t="shared" si="0"/>
        <v>Normal</v>
      </c>
      <c r="P31">
        <f t="shared" si="1"/>
        <v>9799.73</v>
      </c>
    </row>
    <row r="32" spans="1:16"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O32" t="str">
        <f t="shared" si="0"/>
        <v>Normal</v>
      </c>
      <c r="P32">
        <f t="shared" si="1"/>
        <v>6459.79</v>
      </c>
    </row>
    <row r="33" spans="1:16"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O33" t="str">
        <f t="shared" si="0"/>
        <v>Normal</v>
      </c>
      <c r="P33">
        <f t="shared" si="1"/>
        <v>11919.769999999999</v>
      </c>
    </row>
    <row r="34" spans="1:16"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O34" t="str">
        <f t="shared" si="0"/>
        <v>Normal</v>
      </c>
      <c r="P34">
        <f t="shared" si="1"/>
        <v>5089.7300000000005</v>
      </c>
    </row>
    <row r="35" spans="1:16"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O35" t="str">
        <f t="shared" si="0"/>
        <v>Normal</v>
      </c>
      <c r="P35">
        <f t="shared" si="1"/>
        <v>2039.8000000000002</v>
      </c>
    </row>
    <row r="36" spans="1:16"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O36" t="str">
        <f t="shared" si="0"/>
        <v>Normal</v>
      </c>
      <c r="P36">
        <f t="shared" si="1"/>
        <v>1229.8800000000001</v>
      </c>
    </row>
    <row r="37" spans="1:16"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O37" t="str">
        <f t="shared" si="0"/>
        <v>Normal</v>
      </c>
      <c r="P37">
        <f t="shared" si="1"/>
        <v>3259.87</v>
      </c>
    </row>
    <row r="38" spans="1:16"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O38" t="str">
        <f t="shared" si="0"/>
        <v>Normal</v>
      </c>
      <c r="P38">
        <f t="shared" si="1"/>
        <v>9799.73</v>
      </c>
    </row>
    <row r="39" spans="1:16"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O39" t="str">
        <f t="shared" si="0"/>
        <v>Normal</v>
      </c>
      <c r="P39">
        <f t="shared" si="1"/>
        <v>2039.8000000000002</v>
      </c>
    </row>
    <row r="40" spans="1:16"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O40" t="str">
        <f t="shared" si="0"/>
        <v>Normal</v>
      </c>
      <c r="P40">
        <f t="shared" si="1"/>
        <v>2379.86</v>
      </c>
    </row>
    <row r="41" spans="1:16"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O41" t="str">
        <f t="shared" si="0"/>
        <v>High Value</v>
      </c>
      <c r="P41">
        <f t="shared" si="1"/>
        <v>4739.8500000000004</v>
      </c>
    </row>
    <row r="42" spans="1:16"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O42" t="str">
        <f t="shared" si="0"/>
        <v>Normal</v>
      </c>
      <c r="P42">
        <f t="shared" si="1"/>
        <v>5519.8899999999994</v>
      </c>
    </row>
    <row r="43" spans="1:16"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O43" t="str">
        <f t="shared" si="0"/>
        <v>Normal</v>
      </c>
      <c r="P43">
        <f t="shared" si="1"/>
        <v>7309.7999999999993</v>
      </c>
    </row>
    <row r="44" spans="1:16"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O44" t="str">
        <f t="shared" si="0"/>
        <v>Normal</v>
      </c>
      <c r="P44">
        <f t="shared" si="1"/>
        <v>5619.869999999999</v>
      </c>
    </row>
    <row r="45" spans="1:16"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O45" t="str">
        <f t="shared" si="0"/>
        <v>Normal</v>
      </c>
      <c r="P45">
        <f t="shared" si="1"/>
        <v>5089.7300000000005</v>
      </c>
    </row>
    <row r="46" spans="1:16"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O46" t="str">
        <f t="shared" si="0"/>
        <v>Normal</v>
      </c>
      <c r="P46">
        <f t="shared" si="1"/>
        <v>5499.8099999999995</v>
      </c>
    </row>
    <row r="47" spans="1:16"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O47" t="str">
        <f t="shared" si="0"/>
        <v>High Value</v>
      </c>
      <c r="P47">
        <f t="shared" si="1"/>
        <v>6949.84</v>
      </c>
    </row>
    <row r="48" spans="1:16"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O48" t="str">
        <f t="shared" si="0"/>
        <v>Normal</v>
      </c>
      <c r="P48">
        <f t="shared" si="1"/>
        <v>5649.84</v>
      </c>
    </row>
    <row r="49" spans="1:16"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O49" t="str">
        <f t="shared" si="0"/>
        <v>Normal</v>
      </c>
      <c r="P49">
        <f t="shared" si="1"/>
        <v>6169.7400000000007</v>
      </c>
    </row>
    <row r="50" spans="1:16"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O50" t="str">
        <f t="shared" si="0"/>
        <v>Normal</v>
      </c>
      <c r="P50">
        <f t="shared" si="1"/>
        <v>239.96</v>
      </c>
    </row>
    <row r="51" spans="1:16"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O51" t="str">
        <f t="shared" si="0"/>
        <v>Normal</v>
      </c>
      <c r="P51">
        <f t="shared" si="1"/>
        <v>2039.8000000000002</v>
      </c>
    </row>
    <row r="52" spans="1:16"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O52" t="str">
        <f t="shared" si="0"/>
        <v>Normal</v>
      </c>
      <c r="P52">
        <f t="shared" si="1"/>
        <v>9799.73</v>
      </c>
    </row>
    <row r="53" spans="1:16"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O53" t="str">
        <f t="shared" si="0"/>
        <v>High Value</v>
      </c>
      <c r="P53">
        <f t="shared" si="1"/>
        <v>8309.739999999998</v>
      </c>
    </row>
    <row r="54" spans="1:16"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O54" t="str">
        <f t="shared" si="0"/>
        <v>High Value</v>
      </c>
      <c r="P54">
        <f t="shared" si="1"/>
        <v>11919.769999999999</v>
      </c>
    </row>
    <row r="55" spans="1:16"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O55" t="str">
        <f t="shared" si="0"/>
        <v>Normal</v>
      </c>
      <c r="P55">
        <f t="shared" si="1"/>
        <v>5649.84</v>
      </c>
    </row>
    <row r="56" spans="1:16"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O56" t="str">
        <f t="shared" si="0"/>
        <v>Normal</v>
      </c>
      <c r="P56">
        <f t="shared" si="1"/>
        <v>4739.8500000000004</v>
      </c>
    </row>
    <row r="57" spans="1:16"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O57" t="str">
        <f t="shared" si="0"/>
        <v>Normal</v>
      </c>
      <c r="P57">
        <f t="shared" si="1"/>
        <v>3669.8500000000004</v>
      </c>
    </row>
    <row r="58" spans="1:16"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O58" t="str">
        <f t="shared" si="0"/>
        <v>Normal</v>
      </c>
      <c r="P58">
        <f t="shared" si="1"/>
        <v>3259.87</v>
      </c>
    </row>
    <row r="59" spans="1:16"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O59" t="str">
        <f t="shared" si="0"/>
        <v>Normal</v>
      </c>
      <c r="P59">
        <f t="shared" si="1"/>
        <v>3509.8999999999996</v>
      </c>
    </row>
    <row r="60" spans="1:16"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O60" t="str">
        <f t="shared" si="0"/>
        <v>High Value</v>
      </c>
      <c r="P60">
        <f t="shared" si="1"/>
        <v>4309.8099999999995</v>
      </c>
    </row>
    <row r="61" spans="1:16"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O61" t="str">
        <f t="shared" si="0"/>
        <v>High Value</v>
      </c>
      <c r="P61">
        <f t="shared" si="1"/>
        <v>9799.73</v>
      </c>
    </row>
    <row r="62" spans="1:16"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O62" t="str">
        <f t="shared" si="0"/>
        <v>Normal</v>
      </c>
      <c r="P62">
        <f t="shared" si="1"/>
        <v>6459.79</v>
      </c>
    </row>
    <row r="63" spans="1:16"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O63" t="str">
        <f t="shared" si="0"/>
        <v>Normal</v>
      </c>
      <c r="P63">
        <f t="shared" si="1"/>
        <v>1229.8800000000001</v>
      </c>
    </row>
    <row r="64" spans="1:16"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O64" t="str">
        <f t="shared" si="0"/>
        <v>Normal</v>
      </c>
      <c r="P64">
        <f t="shared" si="1"/>
        <v>5089.7300000000005</v>
      </c>
    </row>
    <row r="65" spans="1:16"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O65" t="str">
        <f t="shared" si="0"/>
        <v>Normal</v>
      </c>
      <c r="P65">
        <f t="shared" si="1"/>
        <v>1979.89</v>
      </c>
    </row>
    <row r="66" spans="1:16"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O66" t="str">
        <f t="shared" si="0"/>
        <v>Normal</v>
      </c>
      <c r="P66">
        <f t="shared" si="1"/>
        <v>1809.84</v>
      </c>
    </row>
    <row r="67" spans="1:16"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O67" t="str">
        <f t="shared" si="0"/>
        <v>Normal</v>
      </c>
      <c r="P67">
        <f t="shared" si="1"/>
        <v>2099.88</v>
      </c>
    </row>
    <row r="68" spans="1:16"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O68" t="str">
        <f t="shared" ref="O68:O131" si="2">IF(SUMIF(C67:C67, C67, N67:N67)&gt;1000, "High Value", "Normal")</f>
        <v>High Value</v>
      </c>
      <c r="P68">
        <f t="shared" ref="P68:P131" si="3">SUMIF($C$2:$C$251, C67, $N$2:$N$251)</f>
        <v>6169.7400000000007</v>
      </c>
    </row>
    <row r="69" spans="1:16"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O69" t="str">
        <f t="shared" si="2"/>
        <v>Normal</v>
      </c>
      <c r="P69">
        <f t="shared" si="3"/>
        <v>10649.8</v>
      </c>
    </row>
    <row r="70" spans="1:16"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O70" t="str">
        <f t="shared" si="2"/>
        <v>Normal</v>
      </c>
      <c r="P70">
        <f t="shared" si="3"/>
        <v>3669.8500000000004</v>
      </c>
    </row>
    <row r="71" spans="1:16"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O71" t="str">
        <f t="shared" si="2"/>
        <v>Normal</v>
      </c>
      <c r="P71">
        <f t="shared" si="3"/>
        <v>6949.84</v>
      </c>
    </row>
    <row r="72" spans="1:16"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O72" t="str">
        <f t="shared" si="2"/>
        <v>Normal</v>
      </c>
      <c r="P72">
        <f t="shared" si="3"/>
        <v>1479.91</v>
      </c>
    </row>
    <row r="73" spans="1:16"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O73" t="str">
        <f t="shared" si="2"/>
        <v>Normal</v>
      </c>
      <c r="P73">
        <f t="shared" si="3"/>
        <v>1479.91</v>
      </c>
    </row>
    <row r="74" spans="1:16"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O74" t="str">
        <f t="shared" si="2"/>
        <v>Normal</v>
      </c>
      <c r="P74">
        <f t="shared" si="3"/>
        <v>6379.87</v>
      </c>
    </row>
    <row r="75" spans="1:16"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O75" t="str">
        <f t="shared" si="2"/>
        <v>Normal</v>
      </c>
      <c r="P75">
        <f t="shared" si="3"/>
        <v>5949.85</v>
      </c>
    </row>
    <row r="76" spans="1:16"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O76" t="str">
        <f t="shared" si="2"/>
        <v>Normal</v>
      </c>
      <c r="P76">
        <f t="shared" si="3"/>
        <v>8009.7699999999995</v>
      </c>
    </row>
    <row r="77" spans="1:16"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O77" t="str">
        <f t="shared" si="2"/>
        <v>Normal</v>
      </c>
      <c r="P77">
        <f t="shared" si="3"/>
        <v>5619.869999999999</v>
      </c>
    </row>
    <row r="78" spans="1:16"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O78" t="str">
        <f t="shared" si="2"/>
        <v>High Value</v>
      </c>
      <c r="P78">
        <f t="shared" si="3"/>
        <v>6949.84</v>
      </c>
    </row>
    <row r="79" spans="1:16"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O79" t="str">
        <f t="shared" si="2"/>
        <v>Normal</v>
      </c>
      <c r="P79">
        <f t="shared" si="3"/>
        <v>1809.84</v>
      </c>
    </row>
    <row r="80" spans="1:16"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O80" t="str">
        <f t="shared" si="2"/>
        <v>Normal</v>
      </c>
      <c r="P80">
        <f t="shared" si="3"/>
        <v>6379.87</v>
      </c>
    </row>
    <row r="81" spans="1:16"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O81" t="str">
        <f t="shared" si="2"/>
        <v>Normal</v>
      </c>
      <c r="P81">
        <f t="shared" si="3"/>
        <v>10649.8</v>
      </c>
    </row>
    <row r="82" spans="1:16"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O82" t="str">
        <f t="shared" si="2"/>
        <v>Normal</v>
      </c>
      <c r="P82">
        <f t="shared" si="3"/>
        <v>7309.7999999999993</v>
      </c>
    </row>
    <row r="83" spans="1:16"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O83" t="str">
        <f t="shared" si="2"/>
        <v>Normal</v>
      </c>
      <c r="P83">
        <f t="shared" si="3"/>
        <v>15659.65</v>
      </c>
    </row>
    <row r="84" spans="1:16"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O84" t="str">
        <f t="shared" si="2"/>
        <v>Normal</v>
      </c>
      <c r="P84">
        <f t="shared" si="3"/>
        <v>7309.7999999999993</v>
      </c>
    </row>
    <row r="85" spans="1:16"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O85" t="str">
        <f t="shared" si="2"/>
        <v>High Value</v>
      </c>
      <c r="P85">
        <f t="shared" si="3"/>
        <v>15659.65</v>
      </c>
    </row>
    <row r="86" spans="1:16"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O86" t="str">
        <f t="shared" si="2"/>
        <v>High Value</v>
      </c>
      <c r="P86">
        <f t="shared" si="3"/>
        <v>6459.79</v>
      </c>
    </row>
    <row r="87" spans="1:16"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O87" t="str">
        <f t="shared" si="2"/>
        <v>Normal</v>
      </c>
      <c r="P87">
        <f t="shared" si="3"/>
        <v>3649.8599999999997</v>
      </c>
    </row>
    <row r="88" spans="1:16"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O88" t="str">
        <f t="shared" si="2"/>
        <v>Normal</v>
      </c>
      <c r="P88">
        <f t="shared" si="3"/>
        <v>3769.8300000000004</v>
      </c>
    </row>
    <row r="89" spans="1:16"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O89" t="str">
        <f t="shared" si="2"/>
        <v>Normal</v>
      </c>
      <c r="P89">
        <f t="shared" si="3"/>
        <v>1909.93</v>
      </c>
    </row>
    <row r="90" spans="1:16"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O90" t="str">
        <f t="shared" si="2"/>
        <v>High Value</v>
      </c>
      <c r="P90">
        <f t="shared" si="3"/>
        <v>15659.65</v>
      </c>
    </row>
    <row r="91" spans="1:16"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O91" t="str">
        <f t="shared" si="2"/>
        <v>Normal</v>
      </c>
      <c r="P91">
        <f t="shared" si="3"/>
        <v>1809.84</v>
      </c>
    </row>
    <row r="92" spans="1:16"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O92" t="str">
        <f t="shared" si="2"/>
        <v>High Value</v>
      </c>
      <c r="P92">
        <f t="shared" si="3"/>
        <v>2099.88</v>
      </c>
    </row>
    <row r="93" spans="1:16"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O93" t="str">
        <f t="shared" si="2"/>
        <v>Normal</v>
      </c>
      <c r="P93">
        <f t="shared" si="3"/>
        <v>8009.7699999999995</v>
      </c>
    </row>
    <row r="94" spans="1:16"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O94" t="str">
        <f t="shared" si="2"/>
        <v>Normal</v>
      </c>
      <c r="P94">
        <f t="shared" si="3"/>
        <v>4309.8099999999995</v>
      </c>
    </row>
    <row r="95" spans="1:16"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O95" t="str">
        <f t="shared" si="2"/>
        <v>Normal</v>
      </c>
      <c r="P95">
        <f t="shared" si="3"/>
        <v>5649.84</v>
      </c>
    </row>
    <row r="96" spans="1:16"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O96" t="str">
        <f t="shared" si="2"/>
        <v>Normal</v>
      </c>
      <c r="P96">
        <f t="shared" si="3"/>
        <v>15659.65</v>
      </c>
    </row>
    <row r="97" spans="1:16"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O97" t="str">
        <f t="shared" si="2"/>
        <v>High Value</v>
      </c>
      <c r="P97">
        <f t="shared" si="3"/>
        <v>6379.87</v>
      </c>
    </row>
    <row r="98" spans="1:16"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O98" t="str">
        <f t="shared" si="2"/>
        <v>Normal</v>
      </c>
      <c r="P98">
        <f t="shared" si="3"/>
        <v>4189.7700000000004</v>
      </c>
    </row>
    <row r="99" spans="1:16"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O99" t="str">
        <f t="shared" si="2"/>
        <v>Normal</v>
      </c>
      <c r="P99">
        <f t="shared" si="3"/>
        <v>3769.8300000000004</v>
      </c>
    </row>
    <row r="100" spans="1:16"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O100" t="str">
        <f t="shared" si="2"/>
        <v>Normal</v>
      </c>
      <c r="P100">
        <f t="shared" si="3"/>
        <v>6989.7699999999986</v>
      </c>
    </row>
    <row r="101" spans="1:16"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O101" t="str">
        <f t="shared" si="2"/>
        <v>Normal</v>
      </c>
      <c r="P101">
        <f t="shared" si="3"/>
        <v>5519.8899999999994</v>
      </c>
    </row>
    <row r="102" spans="1:16"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O102" t="str">
        <f t="shared" si="2"/>
        <v>Normal</v>
      </c>
      <c r="P102">
        <f t="shared" si="3"/>
        <v>6379.87</v>
      </c>
    </row>
    <row r="103" spans="1:16"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O103" t="str">
        <f t="shared" si="2"/>
        <v>Normal</v>
      </c>
      <c r="P103">
        <f t="shared" si="3"/>
        <v>1149.93</v>
      </c>
    </row>
    <row r="104" spans="1:16"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O104" t="str">
        <f t="shared" si="2"/>
        <v>High Value</v>
      </c>
      <c r="P104">
        <f t="shared" si="3"/>
        <v>6349.83</v>
      </c>
    </row>
    <row r="105" spans="1:16"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O105" t="str">
        <f t="shared" si="2"/>
        <v>Normal</v>
      </c>
      <c r="P105">
        <f t="shared" si="3"/>
        <v>1149.93</v>
      </c>
    </row>
    <row r="106" spans="1:16"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O106" t="str">
        <f t="shared" si="2"/>
        <v>Normal</v>
      </c>
      <c r="P106">
        <f t="shared" si="3"/>
        <v>8309.739999999998</v>
      </c>
    </row>
    <row r="107" spans="1:16"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O107" t="str">
        <f t="shared" si="2"/>
        <v>High Value</v>
      </c>
      <c r="P107">
        <f t="shared" si="3"/>
        <v>6989.7699999999986</v>
      </c>
    </row>
    <row r="108" spans="1:16"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O108" t="str">
        <f t="shared" si="2"/>
        <v>Normal</v>
      </c>
      <c r="P108">
        <f t="shared" si="3"/>
        <v>2379.86</v>
      </c>
    </row>
    <row r="109" spans="1:16"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O109" t="str">
        <f t="shared" si="2"/>
        <v>Normal</v>
      </c>
      <c r="P109">
        <f t="shared" si="3"/>
        <v>1229.8800000000001</v>
      </c>
    </row>
    <row r="110" spans="1:16"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O110" t="str">
        <f t="shared" si="2"/>
        <v>Normal</v>
      </c>
      <c r="P110">
        <f t="shared" si="3"/>
        <v>4739.8500000000004</v>
      </c>
    </row>
    <row r="111" spans="1:16"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O111" t="str">
        <f t="shared" si="2"/>
        <v>Normal</v>
      </c>
      <c r="P111">
        <f t="shared" si="3"/>
        <v>5089.7300000000005</v>
      </c>
    </row>
    <row r="112" spans="1:16"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O112" t="str">
        <f t="shared" si="2"/>
        <v>Normal</v>
      </c>
      <c r="P112">
        <f t="shared" si="3"/>
        <v>8269.7900000000009</v>
      </c>
    </row>
    <row r="113" spans="1:16"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O113" t="str">
        <f t="shared" si="2"/>
        <v>Normal</v>
      </c>
      <c r="P113">
        <f t="shared" si="3"/>
        <v>4309.8099999999995</v>
      </c>
    </row>
    <row r="114" spans="1:16"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O114" t="str">
        <f t="shared" si="2"/>
        <v>Normal</v>
      </c>
      <c r="P114">
        <f t="shared" si="3"/>
        <v>1749.92</v>
      </c>
    </row>
    <row r="115" spans="1:16"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O115" t="str">
        <f t="shared" si="2"/>
        <v>Normal</v>
      </c>
      <c r="P115">
        <f t="shared" si="3"/>
        <v>8009.7699999999995</v>
      </c>
    </row>
    <row r="116" spans="1:16"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O116" t="str">
        <f t="shared" si="2"/>
        <v>Normal</v>
      </c>
      <c r="P116">
        <f t="shared" si="3"/>
        <v>5499.8099999999995</v>
      </c>
    </row>
    <row r="117" spans="1:16"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O117" t="str">
        <f t="shared" si="2"/>
        <v>Normal</v>
      </c>
      <c r="P117">
        <f t="shared" si="3"/>
        <v>7309.7999999999993</v>
      </c>
    </row>
    <row r="118" spans="1:16"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O118" t="str">
        <f t="shared" si="2"/>
        <v>Normal</v>
      </c>
      <c r="P118">
        <f t="shared" si="3"/>
        <v>4749.91</v>
      </c>
    </row>
    <row r="119" spans="1:16"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O119" t="str">
        <f t="shared" si="2"/>
        <v>High Value</v>
      </c>
      <c r="P119">
        <f t="shared" si="3"/>
        <v>5949.85</v>
      </c>
    </row>
    <row r="120" spans="1:16"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O120" t="str">
        <f t="shared" si="2"/>
        <v>High Value</v>
      </c>
      <c r="P120">
        <f t="shared" si="3"/>
        <v>6349.83</v>
      </c>
    </row>
    <row r="121" spans="1:16"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O121" t="str">
        <f t="shared" si="2"/>
        <v>Normal</v>
      </c>
      <c r="P121">
        <f t="shared" si="3"/>
        <v>1289.9000000000001</v>
      </c>
    </row>
    <row r="122" spans="1:16"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O122" t="str">
        <f t="shared" si="2"/>
        <v>Normal</v>
      </c>
      <c r="P122">
        <f t="shared" si="3"/>
        <v>9799.73</v>
      </c>
    </row>
    <row r="123" spans="1:16"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O123" t="str">
        <f t="shared" si="2"/>
        <v>Normal</v>
      </c>
      <c r="P123">
        <f t="shared" si="3"/>
        <v>739.93000000000006</v>
      </c>
    </row>
    <row r="124" spans="1:16"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O124" t="str">
        <f t="shared" si="2"/>
        <v>High Value</v>
      </c>
      <c r="P124">
        <f t="shared" si="3"/>
        <v>6169.7400000000007</v>
      </c>
    </row>
    <row r="125" spans="1:16"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O125" t="str">
        <f t="shared" si="2"/>
        <v>Normal</v>
      </c>
      <c r="P125">
        <f t="shared" si="3"/>
        <v>1909.93</v>
      </c>
    </row>
    <row r="126" spans="1:16"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O126" t="str">
        <f t="shared" si="2"/>
        <v>Normal</v>
      </c>
      <c r="P126">
        <f t="shared" si="3"/>
        <v>6349.83</v>
      </c>
    </row>
    <row r="127" spans="1:16"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O127" t="str">
        <f t="shared" si="2"/>
        <v>High Value</v>
      </c>
      <c r="P127">
        <f t="shared" si="3"/>
        <v>3649.8599999999997</v>
      </c>
    </row>
    <row r="128" spans="1:16"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O128" t="str">
        <f t="shared" si="2"/>
        <v>Normal</v>
      </c>
      <c r="P128">
        <f t="shared" si="3"/>
        <v>1149.93</v>
      </c>
    </row>
    <row r="129" spans="1:16"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O129" t="str">
        <f t="shared" si="2"/>
        <v>Normal</v>
      </c>
      <c r="P129">
        <f t="shared" si="3"/>
        <v>7309.7999999999993</v>
      </c>
    </row>
    <row r="130" spans="1:16"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O130" t="str">
        <f t="shared" si="2"/>
        <v>High Value</v>
      </c>
      <c r="P130">
        <f t="shared" si="3"/>
        <v>3779.93</v>
      </c>
    </row>
    <row r="131" spans="1:16"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O131" t="str">
        <f t="shared" si="2"/>
        <v>High Value</v>
      </c>
      <c r="P131">
        <f t="shared" si="3"/>
        <v>10649.8</v>
      </c>
    </row>
    <row r="132" spans="1:16"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O132" t="str">
        <f t="shared" ref="O132:O195" si="4">IF(SUMIF(C131:C131, C131, N131:N131)&gt;1000, "High Value", "Normal")</f>
        <v>High Value</v>
      </c>
      <c r="P132">
        <f t="shared" ref="P132:P195" si="5">SUMIF($C$2:$C$251, C131, $N$2:$N$251)</f>
        <v>3669.8500000000004</v>
      </c>
    </row>
    <row r="133" spans="1:16"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O133" t="str">
        <f t="shared" si="4"/>
        <v>Normal</v>
      </c>
      <c r="P133">
        <f t="shared" si="5"/>
        <v>5619.869999999999</v>
      </c>
    </row>
    <row r="134" spans="1:16"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O134" t="str">
        <f t="shared" si="4"/>
        <v>Normal</v>
      </c>
      <c r="P134">
        <f t="shared" si="5"/>
        <v>6989.7699999999986</v>
      </c>
    </row>
    <row r="135" spans="1:16"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O135" t="str">
        <f t="shared" si="4"/>
        <v>Normal</v>
      </c>
      <c r="P135">
        <f t="shared" si="5"/>
        <v>6989.7699999999986</v>
      </c>
    </row>
    <row r="136" spans="1:16"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O136" t="str">
        <f t="shared" si="4"/>
        <v>Normal</v>
      </c>
      <c r="P136">
        <f t="shared" si="5"/>
        <v>4309.8099999999995</v>
      </c>
    </row>
    <row r="137" spans="1:16"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O137" t="str">
        <f t="shared" si="4"/>
        <v>High Value</v>
      </c>
      <c r="P137">
        <f t="shared" si="5"/>
        <v>5499.8099999999995</v>
      </c>
    </row>
    <row r="138" spans="1:16"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O138" t="str">
        <f t="shared" si="4"/>
        <v>High Value</v>
      </c>
      <c r="P138">
        <f t="shared" si="5"/>
        <v>5649.84</v>
      </c>
    </row>
    <row r="139" spans="1:16"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O139" t="str">
        <f t="shared" si="4"/>
        <v>Normal</v>
      </c>
      <c r="P139">
        <f t="shared" si="5"/>
        <v>3669.8500000000004</v>
      </c>
    </row>
    <row r="140" spans="1:16"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O140" t="str">
        <f t="shared" si="4"/>
        <v>High Value</v>
      </c>
      <c r="P140">
        <f t="shared" si="5"/>
        <v>8309.739999999998</v>
      </c>
    </row>
    <row r="141" spans="1:16"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O141" t="str">
        <f t="shared" si="4"/>
        <v>Normal</v>
      </c>
      <c r="P141">
        <f t="shared" si="5"/>
        <v>8009.7699999999995</v>
      </c>
    </row>
    <row r="142" spans="1:16"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O142" t="str">
        <f t="shared" si="4"/>
        <v>Normal</v>
      </c>
      <c r="P142">
        <f t="shared" si="5"/>
        <v>9799.73</v>
      </c>
    </row>
    <row r="143" spans="1:16"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O143" t="str">
        <f t="shared" si="4"/>
        <v>Normal</v>
      </c>
      <c r="P143">
        <f t="shared" si="5"/>
        <v>1909.93</v>
      </c>
    </row>
    <row r="144" spans="1:16"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O144" t="str">
        <f t="shared" si="4"/>
        <v>Normal</v>
      </c>
      <c r="P144">
        <f t="shared" si="5"/>
        <v>2099.88</v>
      </c>
    </row>
    <row r="145" spans="1:16"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O145" t="str">
        <f t="shared" si="4"/>
        <v>Normal</v>
      </c>
      <c r="P145">
        <f t="shared" si="5"/>
        <v>5949.85</v>
      </c>
    </row>
    <row r="146" spans="1:16"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O146" t="str">
        <f t="shared" si="4"/>
        <v>Normal</v>
      </c>
      <c r="P146">
        <f t="shared" si="5"/>
        <v>8309.739999999998</v>
      </c>
    </row>
    <row r="147" spans="1:16"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O147" t="str">
        <f t="shared" si="4"/>
        <v>Normal</v>
      </c>
      <c r="P147">
        <f t="shared" si="5"/>
        <v>9799.73</v>
      </c>
    </row>
    <row r="148" spans="1:16"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O148" t="str">
        <f t="shared" si="4"/>
        <v>Normal</v>
      </c>
      <c r="P148">
        <f t="shared" si="5"/>
        <v>5499.8099999999995</v>
      </c>
    </row>
    <row r="149" spans="1:16"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O149" t="str">
        <f t="shared" si="4"/>
        <v>Normal</v>
      </c>
      <c r="P149">
        <f t="shared" si="5"/>
        <v>3779.93</v>
      </c>
    </row>
    <row r="150" spans="1:16"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O150" t="str">
        <f t="shared" si="4"/>
        <v>Normal</v>
      </c>
      <c r="P150">
        <f t="shared" si="5"/>
        <v>6349.83</v>
      </c>
    </row>
    <row r="151" spans="1:16"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O151" t="str">
        <f t="shared" si="4"/>
        <v>High Value</v>
      </c>
      <c r="P151">
        <f t="shared" si="5"/>
        <v>15659.65</v>
      </c>
    </row>
    <row r="152" spans="1:16"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O152" t="str">
        <f t="shared" si="4"/>
        <v>Normal</v>
      </c>
      <c r="P152">
        <f t="shared" si="5"/>
        <v>11919.769999999999</v>
      </c>
    </row>
    <row r="153" spans="1:16"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O153" t="str">
        <f t="shared" si="4"/>
        <v>Normal</v>
      </c>
      <c r="P153">
        <f t="shared" si="5"/>
        <v>1479.91</v>
      </c>
    </row>
    <row r="154" spans="1:16"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O154" t="str">
        <f t="shared" si="4"/>
        <v>High Value</v>
      </c>
      <c r="P154">
        <f t="shared" si="5"/>
        <v>5499.8099999999995</v>
      </c>
    </row>
    <row r="155" spans="1:16"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O155" t="str">
        <f t="shared" si="4"/>
        <v>High Value</v>
      </c>
      <c r="P155">
        <f t="shared" si="5"/>
        <v>4829.8899999999994</v>
      </c>
    </row>
    <row r="156" spans="1:16"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O156" t="str">
        <f t="shared" si="4"/>
        <v>Normal</v>
      </c>
      <c r="P156">
        <f t="shared" si="5"/>
        <v>1289.9000000000001</v>
      </c>
    </row>
    <row r="157" spans="1:16"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O157" t="str">
        <f t="shared" si="4"/>
        <v>Normal</v>
      </c>
      <c r="P157">
        <f t="shared" si="5"/>
        <v>3259.87</v>
      </c>
    </row>
    <row r="158" spans="1:16"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O158" t="str">
        <f t="shared" si="4"/>
        <v>High Value</v>
      </c>
      <c r="P158">
        <f t="shared" si="5"/>
        <v>5089.7300000000005</v>
      </c>
    </row>
    <row r="159" spans="1:16"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O159" t="str">
        <f t="shared" si="4"/>
        <v>Normal</v>
      </c>
      <c r="P159">
        <f t="shared" si="5"/>
        <v>6949.84</v>
      </c>
    </row>
    <row r="160" spans="1:16"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O160" t="str">
        <f t="shared" si="4"/>
        <v>High Value</v>
      </c>
      <c r="P160">
        <f t="shared" si="5"/>
        <v>15659.65</v>
      </c>
    </row>
    <row r="161" spans="1:16"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O161" t="str">
        <f t="shared" si="4"/>
        <v>Normal</v>
      </c>
      <c r="P161">
        <f t="shared" si="5"/>
        <v>4749.91</v>
      </c>
    </row>
    <row r="162" spans="1:16"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O162" t="str">
        <f t="shared" si="4"/>
        <v>High Value</v>
      </c>
      <c r="P162">
        <f t="shared" si="5"/>
        <v>8269.7900000000009</v>
      </c>
    </row>
    <row r="163" spans="1:16"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O163" t="str">
        <f t="shared" si="4"/>
        <v>Normal</v>
      </c>
      <c r="P163">
        <f t="shared" si="5"/>
        <v>4189.7700000000004</v>
      </c>
    </row>
    <row r="164" spans="1:16"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O164" t="str">
        <f t="shared" si="4"/>
        <v>Normal</v>
      </c>
      <c r="P164">
        <f t="shared" si="5"/>
        <v>179.97</v>
      </c>
    </row>
    <row r="165" spans="1:16"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O165" t="str">
        <f t="shared" si="4"/>
        <v>Normal</v>
      </c>
      <c r="P165">
        <f t="shared" si="5"/>
        <v>4739.8500000000004</v>
      </c>
    </row>
    <row r="166" spans="1:16"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O166" t="str">
        <f t="shared" si="4"/>
        <v>Normal</v>
      </c>
      <c r="P166">
        <f t="shared" si="5"/>
        <v>6459.79</v>
      </c>
    </row>
    <row r="167" spans="1:16"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O167" t="str">
        <f t="shared" si="4"/>
        <v>High Value</v>
      </c>
      <c r="P167">
        <f t="shared" si="5"/>
        <v>5949.85</v>
      </c>
    </row>
    <row r="168" spans="1:16"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O168" t="str">
        <f t="shared" si="4"/>
        <v>Normal</v>
      </c>
      <c r="P168">
        <f t="shared" si="5"/>
        <v>1809.84</v>
      </c>
    </row>
    <row r="169" spans="1:16"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O169" t="str">
        <f t="shared" si="4"/>
        <v>Normal</v>
      </c>
      <c r="P169">
        <f t="shared" si="5"/>
        <v>2379.86</v>
      </c>
    </row>
    <row r="170" spans="1:16"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O170" t="str">
        <f t="shared" si="4"/>
        <v>Normal</v>
      </c>
      <c r="P170">
        <f t="shared" si="5"/>
        <v>1229.8800000000001</v>
      </c>
    </row>
    <row r="171" spans="1:16"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O171" t="str">
        <f t="shared" si="4"/>
        <v>Normal</v>
      </c>
      <c r="P171">
        <f t="shared" si="5"/>
        <v>1809.84</v>
      </c>
    </row>
    <row r="172" spans="1:16"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O172" t="str">
        <f t="shared" si="4"/>
        <v>High Value</v>
      </c>
      <c r="P172">
        <f t="shared" si="5"/>
        <v>7309.7999999999993</v>
      </c>
    </row>
    <row r="173" spans="1:16"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O173" t="str">
        <f t="shared" si="4"/>
        <v>Normal</v>
      </c>
      <c r="P173">
        <f t="shared" si="5"/>
        <v>6169.7400000000007</v>
      </c>
    </row>
    <row r="174" spans="1:16"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O174" t="str">
        <f t="shared" si="4"/>
        <v>Normal</v>
      </c>
      <c r="P174">
        <f t="shared" si="5"/>
        <v>1289.9000000000001</v>
      </c>
    </row>
    <row r="175" spans="1:16"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O175" t="str">
        <f t="shared" si="4"/>
        <v>Normal</v>
      </c>
      <c r="P175">
        <f t="shared" si="5"/>
        <v>1809.84</v>
      </c>
    </row>
    <row r="176" spans="1:16"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O176" t="str">
        <f t="shared" si="4"/>
        <v>Normal</v>
      </c>
      <c r="P176">
        <f t="shared" si="5"/>
        <v>3259.87</v>
      </c>
    </row>
    <row r="177" spans="1:16"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O177" t="str">
        <f t="shared" si="4"/>
        <v>Normal</v>
      </c>
      <c r="P177">
        <f t="shared" si="5"/>
        <v>6169.7400000000007</v>
      </c>
    </row>
    <row r="178" spans="1:16"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O178" t="str">
        <f t="shared" si="4"/>
        <v>Normal</v>
      </c>
      <c r="P178">
        <f t="shared" si="5"/>
        <v>6459.79</v>
      </c>
    </row>
    <row r="179" spans="1:16"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O179" t="str">
        <f t="shared" si="4"/>
        <v>Normal</v>
      </c>
      <c r="P179">
        <f t="shared" si="5"/>
        <v>3509.8999999999996</v>
      </c>
    </row>
    <row r="180" spans="1:16"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O180" t="str">
        <f t="shared" si="4"/>
        <v>Normal</v>
      </c>
      <c r="P180">
        <f t="shared" si="5"/>
        <v>4189.7700000000004</v>
      </c>
    </row>
    <row r="181" spans="1:16"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O181" t="str">
        <f t="shared" si="4"/>
        <v>Normal</v>
      </c>
      <c r="P181">
        <f t="shared" si="5"/>
        <v>15659.65</v>
      </c>
    </row>
    <row r="182" spans="1:16"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O182" t="str">
        <f t="shared" si="4"/>
        <v>Normal</v>
      </c>
      <c r="P182">
        <f t="shared" si="5"/>
        <v>7309.7999999999993</v>
      </c>
    </row>
    <row r="183" spans="1:16"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O183" t="str">
        <f t="shared" si="4"/>
        <v>Normal</v>
      </c>
      <c r="P183">
        <f t="shared" si="5"/>
        <v>1559.94</v>
      </c>
    </row>
    <row r="184" spans="1:16"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O184" t="str">
        <f t="shared" si="4"/>
        <v>Normal</v>
      </c>
      <c r="P184">
        <f t="shared" si="5"/>
        <v>2039.8000000000002</v>
      </c>
    </row>
    <row r="185" spans="1:16"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O185" t="str">
        <f t="shared" si="4"/>
        <v>Normal</v>
      </c>
      <c r="P185">
        <f t="shared" si="5"/>
        <v>6169.7400000000007</v>
      </c>
    </row>
    <row r="186" spans="1:16"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O186" t="str">
        <f t="shared" si="4"/>
        <v>High Value</v>
      </c>
      <c r="P186">
        <f t="shared" si="5"/>
        <v>8009.7699999999995</v>
      </c>
    </row>
    <row r="187" spans="1:16"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O187" t="str">
        <f t="shared" si="4"/>
        <v>Normal</v>
      </c>
      <c r="P187">
        <f t="shared" si="5"/>
        <v>4189.7700000000004</v>
      </c>
    </row>
    <row r="188" spans="1:16"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O188" t="str">
        <f t="shared" si="4"/>
        <v>High Value</v>
      </c>
      <c r="P188">
        <f t="shared" si="5"/>
        <v>4789.7900000000009</v>
      </c>
    </row>
    <row r="189" spans="1:16"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O189" t="str">
        <f t="shared" si="4"/>
        <v>Normal</v>
      </c>
      <c r="P189">
        <f t="shared" si="5"/>
        <v>2379.86</v>
      </c>
    </row>
    <row r="190" spans="1:16"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O190" t="str">
        <f t="shared" si="4"/>
        <v>High Value</v>
      </c>
      <c r="P190">
        <f t="shared" si="5"/>
        <v>4199.9399999999996</v>
      </c>
    </row>
    <row r="191" spans="1:16"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O191" t="str">
        <f t="shared" si="4"/>
        <v>Normal</v>
      </c>
      <c r="P191">
        <f t="shared" si="5"/>
        <v>4829.8899999999994</v>
      </c>
    </row>
    <row r="192" spans="1:16"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O192" t="str">
        <f t="shared" si="4"/>
        <v>Normal</v>
      </c>
      <c r="P192">
        <f t="shared" si="5"/>
        <v>15659.65</v>
      </c>
    </row>
    <row r="193" spans="1:16"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O193" t="str">
        <f t="shared" si="4"/>
        <v>Normal</v>
      </c>
      <c r="P193">
        <f t="shared" si="5"/>
        <v>5649.84</v>
      </c>
    </row>
    <row r="194" spans="1:16"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O194" t="str">
        <f t="shared" si="4"/>
        <v>Normal</v>
      </c>
      <c r="P194">
        <f t="shared" si="5"/>
        <v>6459.79</v>
      </c>
    </row>
    <row r="195" spans="1:16"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O195" t="str">
        <f t="shared" si="4"/>
        <v>Normal</v>
      </c>
      <c r="P195">
        <f t="shared" si="5"/>
        <v>6349.83</v>
      </c>
    </row>
    <row r="196" spans="1:16"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O196" t="str">
        <f t="shared" ref="O196:O252" si="6">IF(SUMIF(C195:C195, C195, N195:N195)&gt;1000, "High Value", "Normal")</f>
        <v>Normal</v>
      </c>
      <c r="P196">
        <f t="shared" ref="P196:P252" si="7">SUMIF($C$2:$C$251, C195, $N$2:$N$251)</f>
        <v>6989.7699999999986</v>
      </c>
    </row>
    <row r="197" spans="1:16"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O197" t="str">
        <f t="shared" si="6"/>
        <v>High Value</v>
      </c>
      <c r="P197">
        <f t="shared" si="7"/>
        <v>3649.8599999999997</v>
      </c>
    </row>
    <row r="198" spans="1:16"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O198" t="str">
        <f t="shared" si="6"/>
        <v>Normal</v>
      </c>
      <c r="P198">
        <f t="shared" si="7"/>
        <v>3509.8999999999996</v>
      </c>
    </row>
    <row r="199" spans="1:16"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O199" t="str">
        <f t="shared" si="6"/>
        <v>Normal</v>
      </c>
      <c r="P199">
        <f t="shared" si="7"/>
        <v>2039.8000000000002</v>
      </c>
    </row>
    <row r="200" spans="1:16"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O200" t="str">
        <f t="shared" si="6"/>
        <v>Normal</v>
      </c>
      <c r="P200">
        <f t="shared" si="7"/>
        <v>1979.89</v>
      </c>
    </row>
    <row r="201" spans="1:16"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O201" t="str">
        <f t="shared" si="6"/>
        <v>Normal</v>
      </c>
      <c r="P201">
        <f t="shared" si="7"/>
        <v>8269.7900000000009</v>
      </c>
    </row>
    <row r="202" spans="1:16"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O202" t="str">
        <f t="shared" si="6"/>
        <v>High Value</v>
      </c>
      <c r="P202">
        <f t="shared" si="7"/>
        <v>4749.91</v>
      </c>
    </row>
    <row r="203" spans="1:16"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O203" t="str">
        <f t="shared" si="6"/>
        <v>Normal</v>
      </c>
      <c r="P203">
        <f t="shared" si="7"/>
        <v>15659.65</v>
      </c>
    </row>
    <row r="204" spans="1:16"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O204" t="str">
        <f t="shared" si="6"/>
        <v>High Value</v>
      </c>
      <c r="P204">
        <f t="shared" si="7"/>
        <v>4829.8899999999994</v>
      </c>
    </row>
    <row r="205" spans="1:16"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O205" t="str">
        <f t="shared" si="6"/>
        <v>High Value</v>
      </c>
      <c r="P205">
        <f t="shared" si="7"/>
        <v>8009.7699999999995</v>
      </c>
    </row>
    <row r="206" spans="1:16"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O206" t="str">
        <f t="shared" si="6"/>
        <v>Normal</v>
      </c>
      <c r="P206">
        <f t="shared" si="7"/>
        <v>11919.769999999999</v>
      </c>
    </row>
    <row r="207" spans="1:16"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O207" t="str">
        <f t="shared" si="6"/>
        <v>Normal</v>
      </c>
      <c r="P207">
        <f t="shared" si="7"/>
        <v>6169.7400000000007</v>
      </c>
    </row>
    <row r="208" spans="1:16"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O208" t="str">
        <f t="shared" si="6"/>
        <v>Normal</v>
      </c>
      <c r="P208">
        <f t="shared" si="7"/>
        <v>1559.94</v>
      </c>
    </row>
    <row r="209" spans="1:16"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O209" t="str">
        <f t="shared" si="6"/>
        <v>Normal</v>
      </c>
      <c r="P209">
        <f t="shared" si="7"/>
        <v>1749.92</v>
      </c>
    </row>
    <row r="210" spans="1:16"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O210" t="str">
        <f t="shared" si="6"/>
        <v>High Value</v>
      </c>
      <c r="P210">
        <f t="shared" si="7"/>
        <v>4789.7900000000009</v>
      </c>
    </row>
    <row r="211" spans="1:16"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O211" t="str">
        <f t="shared" si="6"/>
        <v>Normal</v>
      </c>
      <c r="P211">
        <f t="shared" si="7"/>
        <v>5619.869999999999</v>
      </c>
    </row>
    <row r="212" spans="1:16"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O212" t="str">
        <f t="shared" si="6"/>
        <v>Normal</v>
      </c>
      <c r="P212">
        <f t="shared" si="7"/>
        <v>4189.7700000000004</v>
      </c>
    </row>
    <row r="213" spans="1:16"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O213" t="str">
        <f t="shared" si="6"/>
        <v>Normal</v>
      </c>
      <c r="P213">
        <f t="shared" si="7"/>
        <v>3259.87</v>
      </c>
    </row>
    <row r="214" spans="1:16"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O214" t="str">
        <f t="shared" si="6"/>
        <v>Normal</v>
      </c>
      <c r="P214">
        <f t="shared" si="7"/>
        <v>8309.739999999998</v>
      </c>
    </row>
    <row r="215" spans="1:16"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O215" t="str">
        <f t="shared" si="6"/>
        <v>Normal</v>
      </c>
      <c r="P215">
        <f t="shared" si="7"/>
        <v>739.93000000000006</v>
      </c>
    </row>
    <row r="216" spans="1:16"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O216" t="str">
        <f t="shared" si="6"/>
        <v>High Value</v>
      </c>
      <c r="P216">
        <f t="shared" si="7"/>
        <v>11919.769999999999</v>
      </c>
    </row>
    <row r="217" spans="1:16"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O217" t="str">
        <f t="shared" si="6"/>
        <v>Normal</v>
      </c>
      <c r="P217">
        <f t="shared" si="7"/>
        <v>6169.7400000000007</v>
      </c>
    </row>
    <row r="218" spans="1:16"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O218" t="str">
        <f t="shared" si="6"/>
        <v>High Value</v>
      </c>
      <c r="P218">
        <f t="shared" si="7"/>
        <v>10649.8</v>
      </c>
    </row>
    <row r="219" spans="1:16"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O219" t="str">
        <f t="shared" si="6"/>
        <v>Normal</v>
      </c>
      <c r="P219">
        <f t="shared" si="7"/>
        <v>1479.91</v>
      </c>
    </row>
    <row r="220" spans="1:16"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O220" t="str">
        <f t="shared" si="6"/>
        <v>High Value</v>
      </c>
      <c r="P220">
        <f t="shared" si="7"/>
        <v>5089.7300000000005</v>
      </c>
    </row>
    <row r="221" spans="1:16"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O221" t="str">
        <f t="shared" si="6"/>
        <v>Normal</v>
      </c>
      <c r="P221">
        <f t="shared" si="7"/>
        <v>5619.869999999999</v>
      </c>
    </row>
    <row r="222" spans="1:16"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O222" t="str">
        <f t="shared" si="6"/>
        <v>Normal</v>
      </c>
      <c r="P222">
        <f t="shared" si="7"/>
        <v>1749.92</v>
      </c>
    </row>
    <row r="223" spans="1:16"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O223" t="str">
        <f t="shared" si="6"/>
        <v>Normal</v>
      </c>
      <c r="P223">
        <f t="shared" si="7"/>
        <v>1559.94</v>
      </c>
    </row>
    <row r="224" spans="1:16"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O224" t="str">
        <f t="shared" si="6"/>
        <v>Normal</v>
      </c>
      <c r="P224">
        <f t="shared" si="7"/>
        <v>3649.8599999999997</v>
      </c>
    </row>
    <row r="225" spans="1:16"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O225" t="str">
        <f t="shared" si="6"/>
        <v>Normal</v>
      </c>
      <c r="P225">
        <f t="shared" si="7"/>
        <v>2379.86</v>
      </c>
    </row>
    <row r="226" spans="1:16"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O226" t="str">
        <f t="shared" si="6"/>
        <v>Normal</v>
      </c>
      <c r="P226">
        <f t="shared" si="7"/>
        <v>739.93000000000006</v>
      </c>
    </row>
    <row r="227" spans="1:16"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O227" t="str">
        <f t="shared" si="6"/>
        <v>Normal</v>
      </c>
      <c r="P227">
        <f t="shared" si="7"/>
        <v>4789.7900000000009</v>
      </c>
    </row>
    <row r="228" spans="1:16"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O228" t="str">
        <f t="shared" si="6"/>
        <v>Normal</v>
      </c>
      <c r="P228">
        <f t="shared" si="7"/>
        <v>5089.7300000000005</v>
      </c>
    </row>
    <row r="229" spans="1:16"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O229" t="str">
        <f t="shared" si="6"/>
        <v>High Value</v>
      </c>
      <c r="P229">
        <f t="shared" si="7"/>
        <v>6989.7699999999986</v>
      </c>
    </row>
    <row r="230" spans="1:16"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O230" t="str">
        <f t="shared" si="6"/>
        <v>Normal</v>
      </c>
      <c r="P230">
        <f t="shared" si="7"/>
        <v>479.91999999999996</v>
      </c>
    </row>
    <row r="231" spans="1:16"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O231" t="str">
        <f t="shared" si="6"/>
        <v>Normal</v>
      </c>
      <c r="P231">
        <f t="shared" si="7"/>
        <v>8309.739999999998</v>
      </c>
    </row>
    <row r="232" spans="1:16"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O232" t="str">
        <f t="shared" si="6"/>
        <v>High Value</v>
      </c>
      <c r="P232">
        <f t="shared" si="7"/>
        <v>6459.79</v>
      </c>
    </row>
    <row r="233" spans="1:16"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O233" t="str">
        <f t="shared" si="6"/>
        <v>Normal</v>
      </c>
      <c r="P233">
        <f t="shared" si="7"/>
        <v>6989.7699999999986</v>
      </c>
    </row>
    <row r="234" spans="1:16"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O234" t="str">
        <f t="shared" si="6"/>
        <v>High Value</v>
      </c>
      <c r="P234">
        <f t="shared" si="7"/>
        <v>5519.8899999999994</v>
      </c>
    </row>
    <row r="235" spans="1:16"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O235" t="str">
        <f t="shared" si="6"/>
        <v>Normal</v>
      </c>
      <c r="P235">
        <f t="shared" si="7"/>
        <v>5089.7300000000005</v>
      </c>
    </row>
    <row r="236" spans="1:16"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O236" t="str">
        <f t="shared" si="6"/>
        <v>Normal</v>
      </c>
      <c r="P236">
        <f t="shared" si="7"/>
        <v>5519.8899999999994</v>
      </c>
    </row>
    <row r="237" spans="1:16"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O237" t="str">
        <f t="shared" si="6"/>
        <v>Normal</v>
      </c>
      <c r="P237">
        <f t="shared" si="7"/>
        <v>1479.91</v>
      </c>
    </row>
    <row r="238" spans="1:16"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O238" t="str">
        <f t="shared" si="6"/>
        <v>Normal</v>
      </c>
      <c r="P238">
        <f t="shared" si="7"/>
        <v>1229.8800000000001</v>
      </c>
    </row>
    <row r="239" spans="1:16"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O239" t="str">
        <f t="shared" si="6"/>
        <v>High Value</v>
      </c>
      <c r="P239">
        <f t="shared" si="7"/>
        <v>5619.869999999999</v>
      </c>
    </row>
    <row r="240" spans="1:16"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O240" t="str">
        <f t="shared" si="6"/>
        <v>High Value</v>
      </c>
      <c r="P240">
        <f t="shared" si="7"/>
        <v>8269.7900000000009</v>
      </c>
    </row>
    <row r="241" spans="1:16"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O241" t="str">
        <f t="shared" si="6"/>
        <v>Normal</v>
      </c>
      <c r="P241">
        <f t="shared" si="7"/>
        <v>8309.739999999998</v>
      </c>
    </row>
    <row r="242" spans="1:16"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O242" t="str">
        <f t="shared" si="6"/>
        <v>Normal</v>
      </c>
      <c r="P242">
        <f t="shared" si="7"/>
        <v>599.96</v>
      </c>
    </row>
    <row r="243" spans="1:16"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O243" t="str">
        <f t="shared" si="6"/>
        <v>Normal</v>
      </c>
      <c r="P243">
        <f t="shared" si="7"/>
        <v>3769.8300000000004</v>
      </c>
    </row>
    <row r="244" spans="1:16"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O244" t="str">
        <f t="shared" si="6"/>
        <v>Normal</v>
      </c>
      <c r="P244">
        <f t="shared" si="7"/>
        <v>2099.88</v>
      </c>
    </row>
    <row r="245" spans="1:16"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O245" t="str">
        <f t="shared" si="6"/>
        <v>Normal</v>
      </c>
      <c r="P245">
        <f t="shared" si="7"/>
        <v>4789.7900000000009</v>
      </c>
    </row>
    <row r="246" spans="1:16"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O246" t="str">
        <f t="shared" si="6"/>
        <v>Normal</v>
      </c>
      <c r="P246">
        <f t="shared" si="7"/>
        <v>8009.7699999999995</v>
      </c>
    </row>
    <row r="247" spans="1:16"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O247" t="str">
        <f t="shared" si="6"/>
        <v>High Value</v>
      </c>
      <c r="P247">
        <f t="shared" si="7"/>
        <v>3769.8300000000004</v>
      </c>
    </row>
    <row r="248" spans="1:16"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O248" t="str">
        <f t="shared" si="6"/>
        <v>High Value</v>
      </c>
      <c r="P248">
        <f t="shared" si="7"/>
        <v>11919.769999999999</v>
      </c>
    </row>
    <row r="249" spans="1:16"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O249" t="str">
        <f t="shared" si="6"/>
        <v>Normal</v>
      </c>
      <c r="P249">
        <f t="shared" si="7"/>
        <v>4789.7900000000009</v>
      </c>
    </row>
    <row r="250" spans="1:16"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O250" t="str">
        <f t="shared" si="6"/>
        <v>Normal</v>
      </c>
      <c r="P250">
        <f t="shared" si="7"/>
        <v>3509.8999999999996</v>
      </c>
    </row>
    <row r="251" spans="1:16"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O251" t="str">
        <f t="shared" si="6"/>
        <v>High Value</v>
      </c>
      <c r="P251">
        <f t="shared" si="7"/>
        <v>4829.8899999999994</v>
      </c>
    </row>
    <row r="252" spans="1:16"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O252" t="str">
        <f t="shared" si="6"/>
        <v>Normal</v>
      </c>
      <c r="P252">
        <f t="shared" si="7"/>
        <v>6989.7699999999986</v>
      </c>
    </row>
  </sheetData>
  <autoFilter ref="A2:O252" xr:uid="{E5D2100C-D7AF-4BAC-B392-2ECF50D2534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6E483-A047-4179-9E3B-E15AA1B27C1E}">
  <dimension ref="A3:R17"/>
  <sheetViews>
    <sheetView workbookViewId="0">
      <selection activeCell="B5" sqref="B5"/>
    </sheetView>
  </sheetViews>
  <sheetFormatPr defaultRowHeight="14.4"/>
  <cols>
    <col min="1" max="1" width="12.5546875" bestFit="1" customWidth="1"/>
    <col min="2" max="2" width="19.77734375" bestFit="1" customWidth="1"/>
    <col min="4" max="4" width="12.21875" bestFit="1" customWidth="1"/>
    <col min="5" max="5" width="19.77734375" bestFit="1" customWidth="1"/>
  </cols>
  <sheetData>
    <row r="3" spans="1:18">
      <c r="A3" s="37" t="s">
        <v>445</v>
      </c>
      <c r="B3" t="s">
        <v>444</v>
      </c>
      <c r="D3" s="36" t="s">
        <v>445</v>
      </c>
      <c r="E3" s="36" t="s">
        <v>444</v>
      </c>
    </row>
    <row r="4" spans="1:18">
      <c r="A4" s="38" t="s">
        <v>32</v>
      </c>
      <c r="B4" s="35">
        <v>1799.7</v>
      </c>
      <c r="D4" s="38" t="s">
        <v>32</v>
      </c>
      <c r="E4" s="35">
        <v>5219.1299999999974</v>
      </c>
    </row>
    <row r="5" spans="1:18">
      <c r="A5" s="38" t="s">
        <v>446</v>
      </c>
      <c r="B5" s="35">
        <v>1799.7</v>
      </c>
      <c r="D5" s="38" t="s">
        <v>45</v>
      </c>
      <c r="E5" s="35">
        <v>15298.979999999994</v>
      </c>
    </row>
    <row r="6" spans="1:18">
      <c r="D6" s="38" t="s">
        <v>115</v>
      </c>
      <c r="E6" s="35">
        <v>3119.6099999999992</v>
      </c>
    </row>
    <row r="7" spans="1:18">
      <c r="D7" s="38" t="s">
        <v>106</v>
      </c>
      <c r="E7" s="35">
        <v>23399.22</v>
      </c>
    </row>
    <row r="8" spans="1:18">
      <c r="D8" s="38" t="s">
        <v>53</v>
      </c>
      <c r="E8" s="35">
        <v>7049.5299999999988</v>
      </c>
      <c r="Q8" s="38"/>
      <c r="R8" s="35"/>
    </row>
    <row r="9" spans="1:18">
      <c r="D9" s="38" t="s">
        <v>118</v>
      </c>
      <c r="E9" s="35">
        <v>8009.1099999999969</v>
      </c>
      <c r="Q9" s="38"/>
      <c r="R9" s="35"/>
    </row>
    <row r="10" spans="1:18">
      <c r="D10" s="38" t="s">
        <v>62</v>
      </c>
      <c r="E10" s="35">
        <v>67499.25</v>
      </c>
      <c r="Q10" s="38"/>
      <c r="R10" s="35"/>
    </row>
    <row r="11" spans="1:18">
      <c r="D11" s="38" t="s">
        <v>18</v>
      </c>
      <c r="E11" s="35">
        <v>21999.119999999999</v>
      </c>
      <c r="Q11" s="38"/>
      <c r="R11" s="35"/>
    </row>
    <row r="12" spans="1:18">
      <c r="D12" s="38" t="s">
        <v>127</v>
      </c>
      <c r="E12" s="35">
        <v>10399.479999999998</v>
      </c>
      <c r="Q12" s="38"/>
      <c r="R12" s="35"/>
    </row>
    <row r="13" spans="1:18">
      <c r="D13" s="38" t="s">
        <v>81</v>
      </c>
      <c r="E13" s="35">
        <v>67199.039999999994</v>
      </c>
      <c r="Q13" s="38"/>
      <c r="R13" s="35"/>
    </row>
    <row r="14" spans="1:18">
      <c r="Q14" s="38"/>
      <c r="R14" s="35"/>
    </row>
    <row r="15" spans="1:18">
      <c r="Q15" s="38"/>
      <c r="R15" s="35"/>
    </row>
    <row r="16" spans="1:18">
      <c r="Q16" s="38"/>
      <c r="R16" s="35"/>
    </row>
    <row r="17" spans="17:18">
      <c r="Q17" s="38"/>
      <c r="R17" s="3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88FC-2932-4221-A736-986FEEBA0360}">
  <dimension ref="A1:N73"/>
  <sheetViews>
    <sheetView topLeftCell="A16" workbookViewId="0">
      <selection activeCell="V24" sqref="V24"/>
    </sheetView>
  </sheetViews>
  <sheetFormatPr defaultRowHeight="14.4"/>
  <cols>
    <col min="1" max="16384" width="8.88671875" style="44"/>
  </cols>
  <sheetData>
    <row r="1" spans="1:14">
      <c r="A1" s="45" t="s">
        <v>460</v>
      </c>
      <c r="B1" s="45"/>
      <c r="C1" s="45"/>
      <c r="D1" s="45"/>
      <c r="E1" s="45"/>
      <c r="F1" s="45"/>
      <c r="G1" s="45"/>
      <c r="H1" s="45"/>
      <c r="I1" s="45"/>
      <c r="J1" s="45"/>
      <c r="K1" s="45"/>
      <c r="L1" s="45"/>
      <c r="M1" s="45"/>
      <c r="N1" s="45"/>
    </row>
    <row r="2" spans="1:14" ht="13.8" customHeight="1">
      <c r="A2" s="45"/>
      <c r="B2" s="45"/>
      <c r="C2" s="45"/>
      <c r="D2" s="45"/>
      <c r="E2" s="45"/>
      <c r="F2" s="45"/>
      <c r="G2" s="45"/>
      <c r="H2" s="45"/>
      <c r="I2" s="45"/>
      <c r="J2" s="45"/>
      <c r="K2" s="45"/>
      <c r="L2" s="45"/>
      <c r="M2" s="45"/>
      <c r="N2" s="45"/>
    </row>
    <row r="3" spans="1:14">
      <c r="A3" s="46"/>
      <c r="B3" s="46"/>
      <c r="C3" s="46"/>
      <c r="D3" s="46"/>
      <c r="E3" s="46"/>
      <c r="F3" s="46"/>
      <c r="G3" s="46"/>
      <c r="H3" s="46"/>
      <c r="I3" s="46"/>
      <c r="J3" s="46"/>
      <c r="K3" s="46"/>
      <c r="L3" s="46"/>
      <c r="M3" s="46"/>
      <c r="N3" s="46"/>
    </row>
    <row r="4" spans="1:14">
      <c r="A4" s="46"/>
      <c r="B4" s="46"/>
      <c r="C4" s="46"/>
      <c r="D4" s="46"/>
      <c r="E4" s="46"/>
      <c r="F4" s="46"/>
      <c r="G4" s="46"/>
      <c r="H4" s="46"/>
      <c r="I4" s="46"/>
      <c r="J4" s="46"/>
      <c r="K4" s="46"/>
      <c r="L4" s="46"/>
      <c r="M4" s="46"/>
      <c r="N4" s="46"/>
    </row>
    <row r="5" spans="1:14">
      <c r="A5" s="46"/>
      <c r="B5" s="46"/>
      <c r="C5" s="46"/>
      <c r="D5" s="46"/>
      <c r="E5" s="46"/>
      <c r="F5" s="46"/>
      <c r="G5" s="46"/>
      <c r="H5" s="46"/>
      <c r="I5" s="46"/>
      <c r="J5" s="46"/>
      <c r="K5" s="46"/>
      <c r="L5" s="46"/>
      <c r="M5" s="46"/>
      <c r="N5" s="46"/>
    </row>
    <row r="6" spans="1:14">
      <c r="A6" s="46"/>
      <c r="B6" s="46"/>
      <c r="C6" s="46"/>
      <c r="D6" s="46"/>
      <c r="E6" s="46"/>
      <c r="F6" s="46"/>
      <c r="G6" s="46"/>
      <c r="H6" s="46"/>
      <c r="I6" s="46"/>
      <c r="J6" s="46"/>
      <c r="K6" s="46"/>
      <c r="L6" s="46"/>
      <c r="M6" s="46"/>
      <c r="N6" s="46"/>
    </row>
    <row r="7" spans="1:14">
      <c r="A7" s="46"/>
      <c r="B7" s="46"/>
      <c r="C7" s="46"/>
      <c r="D7" s="46"/>
      <c r="E7" s="46"/>
      <c r="F7" s="46"/>
      <c r="G7" s="46"/>
      <c r="H7" s="46"/>
      <c r="I7" s="46"/>
      <c r="J7" s="46"/>
      <c r="K7" s="46"/>
      <c r="L7" s="46"/>
      <c r="M7" s="46"/>
      <c r="N7" s="46"/>
    </row>
    <row r="8" spans="1:14">
      <c r="A8" s="46"/>
      <c r="B8" s="46"/>
      <c r="C8" s="46"/>
      <c r="D8" s="46"/>
      <c r="E8" s="46"/>
      <c r="F8" s="46"/>
      <c r="G8" s="46"/>
      <c r="H8" s="46"/>
      <c r="I8" s="46"/>
      <c r="J8" s="46"/>
      <c r="K8" s="46"/>
      <c r="L8" s="46"/>
      <c r="M8" s="46"/>
      <c r="N8" s="46"/>
    </row>
    <row r="9" spans="1:14">
      <c r="A9" s="46"/>
      <c r="B9" s="46"/>
      <c r="C9" s="46"/>
      <c r="D9" s="46"/>
      <c r="E9" s="46"/>
      <c r="F9" s="46"/>
      <c r="G9" s="46"/>
      <c r="H9" s="46"/>
      <c r="I9" s="46"/>
      <c r="J9" s="46"/>
      <c r="K9" s="46"/>
      <c r="L9" s="46"/>
      <c r="M9" s="46"/>
      <c r="N9" s="46"/>
    </row>
    <row r="10" spans="1:14">
      <c r="A10" s="46"/>
      <c r="B10" s="46"/>
      <c r="C10" s="46"/>
      <c r="D10" s="46"/>
      <c r="E10" s="46"/>
      <c r="F10" s="46"/>
      <c r="G10" s="46"/>
      <c r="H10" s="46"/>
      <c r="I10" s="46"/>
      <c r="J10" s="46"/>
      <c r="K10" s="46"/>
      <c r="L10" s="46"/>
      <c r="M10" s="46"/>
      <c r="N10" s="46"/>
    </row>
    <row r="11" spans="1:14">
      <c r="A11" s="46"/>
      <c r="B11" s="46"/>
      <c r="C11" s="46"/>
      <c r="D11" s="46"/>
      <c r="E11" s="46"/>
      <c r="F11" s="46"/>
      <c r="G11" s="46"/>
      <c r="H11" s="46"/>
      <c r="I11" s="46"/>
      <c r="J11" s="46"/>
      <c r="K11" s="46"/>
      <c r="L11" s="46"/>
      <c r="M11" s="46"/>
      <c r="N11" s="46"/>
    </row>
    <row r="12" spans="1:14">
      <c r="A12" s="46"/>
      <c r="B12" s="46"/>
      <c r="C12" s="46"/>
      <c r="D12" s="46"/>
      <c r="E12" s="46"/>
      <c r="F12" s="46"/>
      <c r="G12" s="46"/>
      <c r="H12" s="46"/>
      <c r="I12" s="46"/>
      <c r="J12" s="46"/>
      <c r="K12" s="46"/>
      <c r="L12" s="46"/>
      <c r="M12" s="46"/>
      <c r="N12" s="46"/>
    </row>
    <row r="13" spans="1:14">
      <c r="A13" s="46"/>
      <c r="B13" s="46"/>
      <c r="C13" s="46"/>
      <c r="D13" s="46"/>
      <c r="E13" s="46"/>
      <c r="F13" s="46"/>
      <c r="G13" s="46"/>
      <c r="H13" s="46"/>
      <c r="I13" s="46"/>
      <c r="J13" s="46"/>
      <c r="K13" s="46"/>
      <c r="L13" s="46"/>
      <c r="M13" s="46"/>
      <c r="N13" s="46"/>
    </row>
    <row r="14" spans="1:14">
      <c r="A14" s="46"/>
      <c r="B14" s="46"/>
      <c r="C14" s="46"/>
      <c r="D14" s="46"/>
      <c r="E14" s="46"/>
      <c r="F14" s="46"/>
      <c r="G14" s="46"/>
      <c r="H14" s="46"/>
      <c r="I14" s="46"/>
      <c r="J14" s="46"/>
      <c r="K14" s="46"/>
      <c r="L14" s="46"/>
      <c r="M14" s="46"/>
      <c r="N14" s="46"/>
    </row>
    <row r="15" spans="1:14">
      <c r="A15" s="46"/>
      <c r="B15" s="46"/>
      <c r="C15" s="46"/>
      <c r="D15" s="46"/>
      <c r="E15" s="46"/>
      <c r="F15" s="46"/>
      <c r="G15" s="46"/>
      <c r="H15" s="46"/>
      <c r="I15" s="46"/>
      <c r="J15" s="46"/>
      <c r="K15" s="46"/>
      <c r="L15" s="46"/>
      <c r="M15" s="46"/>
      <c r="N15" s="46"/>
    </row>
    <row r="16" spans="1:14">
      <c r="A16" s="46"/>
      <c r="B16" s="46"/>
      <c r="C16" s="46"/>
      <c r="D16" s="46"/>
      <c r="E16" s="46"/>
      <c r="F16" s="46"/>
      <c r="G16" s="46"/>
      <c r="H16" s="46"/>
      <c r="I16" s="46"/>
      <c r="J16" s="46"/>
      <c r="K16" s="46"/>
      <c r="L16" s="46"/>
      <c r="M16" s="46"/>
      <c r="N16" s="46"/>
    </row>
    <row r="17" spans="1:14">
      <c r="A17" s="46"/>
      <c r="B17" s="46"/>
      <c r="C17" s="46"/>
      <c r="D17" s="46"/>
      <c r="E17" s="46"/>
      <c r="F17" s="46"/>
      <c r="G17" s="46"/>
      <c r="H17" s="46"/>
      <c r="I17" s="46"/>
      <c r="J17" s="46"/>
      <c r="K17" s="46"/>
      <c r="L17" s="46"/>
      <c r="M17" s="46"/>
      <c r="N17" s="46"/>
    </row>
    <row r="18" spans="1:14">
      <c r="A18" s="46"/>
      <c r="B18" s="46"/>
      <c r="C18" s="46"/>
      <c r="D18" s="46"/>
      <c r="E18" s="46"/>
      <c r="F18" s="46"/>
      <c r="G18" s="46"/>
      <c r="H18" s="46"/>
      <c r="I18" s="46"/>
      <c r="J18" s="46"/>
      <c r="K18" s="46"/>
      <c r="L18" s="46"/>
      <c r="M18" s="46"/>
      <c r="N18" s="46"/>
    </row>
    <row r="19" spans="1:14">
      <c r="A19" s="46"/>
      <c r="B19" s="46"/>
      <c r="C19" s="46"/>
      <c r="D19" s="46"/>
      <c r="E19" s="46"/>
      <c r="F19" s="46"/>
      <c r="G19" s="46"/>
      <c r="H19" s="46"/>
      <c r="I19" s="46"/>
      <c r="J19" s="46"/>
      <c r="K19" s="46"/>
      <c r="L19" s="46"/>
      <c r="M19" s="46"/>
      <c r="N19" s="46"/>
    </row>
    <row r="20" spans="1:14">
      <c r="A20" s="46"/>
      <c r="B20" s="46"/>
      <c r="C20" s="46"/>
      <c r="D20" s="46"/>
      <c r="E20" s="46"/>
      <c r="F20" s="46"/>
      <c r="G20" s="46"/>
      <c r="H20" s="46"/>
      <c r="I20" s="46"/>
      <c r="J20" s="46"/>
      <c r="K20" s="46"/>
      <c r="L20" s="46"/>
      <c r="M20" s="46"/>
      <c r="N20" s="46"/>
    </row>
    <row r="21" spans="1:14">
      <c r="A21" s="46"/>
      <c r="B21" s="46"/>
      <c r="C21" s="46"/>
      <c r="D21" s="46"/>
      <c r="E21" s="46"/>
      <c r="F21" s="46"/>
      <c r="G21" s="46"/>
      <c r="H21" s="46"/>
      <c r="I21" s="46"/>
      <c r="J21" s="46"/>
      <c r="K21" s="46"/>
      <c r="L21" s="46"/>
      <c r="M21" s="46"/>
      <c r="N21" s="46"/>
    </row>
    <row r="22" spans="1:14">
      <c r="A22" s="46"/>
      <c r="B22" s="46"/>
      <c r="C22" s="46"/>
      <c r="D22" s="46"/>
      <c r="E22" s="46"/>
      <c r="F22" s="46"/>
      <c r="G22" s="46"/>
      <c r="H22" s="46"/>
      <c r="I22" s="46"/>
      <c r="J22" s="46"/>
      <c r="K22" s="46"/>
      <c r="L22" s="46"/>
      <c r="M22" s="46"/>
      <c r="N22" s="46"/>
    </row>
    <row r="23" spans="1:14">
      <c r="A23" s="46"/>
      <c r="B23" s="46"/>
      <c r="C23" s="46"/>
      <c r="D23" s="46"/>
      <c r="E23" s="46"/>
      <c r="F23" s="46"/>
      <c r="G23" s="46"/>
      <c r="H23" s="46"/>
      <c r="I23" s="46"/>
      <c r="J23" s="46"/>
      <c r="K23" s="46"/>
      <c r="L23" s="46"/>
      <c r="M23" s="46"/>
      <c r="N23" s="46"/>
    </row>
    <row r="24" spans="1:14">
      <c r="A24" s="46"/>
      <c r="B24" s="46"/>
      <c r="C24" s="46"/>
      <c r="D24" s="46"/>
      <c r="E24" s="46"/>
      <c r="F24" s="46"/>
      <c r="G24" s="46"/>
      <c r="H24" s="46"/>
      <c r="I24" s="46"/>
      <c r="J24" s="46"/>
      <c r="K24" s="46"/>
      <c r="L24" s="46"/>
      <c r="M24" s="46"/>
      <c r="N24" s="46"/>
    </row>
    <row r="25" spans="1:14">
      <c r="A25" s="46"/>
      <c r="B25" s="46"/>
      <c r="C25" s="46"/>
      <c r="D25" s="46"/>
      <c r="E25" s="46"/>
      <c r="F25" s="46"/>
      <c r="G25" s="46"/>
      <c r="H25" s="46"/>
      <c r="I25" s="46"/>
      <c r="J25" s="46"/>
      <c r="K25" s="46"/>
      <c r="L25" s="46"/>
      <c r="M25" s="46"/>
      <c r="N25" s="46"/>
    </row>
    <row r="26" spans="1:14">
      <c r="A26" s="46"/>
      <c r="B26" s="46"/>
      <c r="C26" s="46"/>
      <c r="D26" s="46"/>
      <c r="E26" s="46"/>
      <c r="F26" s="46"/>
      <c r="G26" s="46"/>
      <c r="H26" s="46"/>
      <c r="I26" s="46"/>
      <c r="J26" s="46"/>
      <c r="K26" s="46"/>
      <c r="L26" s="46"/>
      <c r="M26" s="46"/>
      <c r="N26" s="46"/>
    </row>
    <row r="27" spans="1:14">
      <c r="A27" s="46"/>
      <c r="B27" s="46"/>
      <c r="C27" s="46"/>
      <c r="D27" s="46"/>
      <c r="E27" s="46"/>
      <c r="F27" s="46"/>
      <c r="G27" s="46"/>
      <c r="H27" s="46"/>
      <c r="I27" s="46"/>
      <c r="J27" s="46"/>
      <c r="K27" s="46"/>
      <c r="L27" s="46"/>
      <c r="M27" s="46"/>
      <c r="N27" s="46"/>
    </row>
    <row r="28" spans="1:14">
      <c r="A28" s="46"/>
      <c r="B28" s="46"/>
      <c r="C28" s="46"/>
      <c r="D28" s="46"/>
      <c r="E28" s="46"/>
      <c r="F28" s="46"/>
      <c r="G28" s="46"/>
      <c r="H28" s="46"/>
      <c r="I28" s="46"/>
      <c r="J28" s="46"/>
      <c r="K28" s="46"/>
      <c r="L28" s="46"/>
      <c r="M28" s="46"/>
      <c r="N28" s="46"/>
    </row>
    <row r="29" spans="1:14">
      <c r="A29" s="46"/>
      <c r="B29" s="46"/>
      <c r="C29" s="46"/>
      <c r="D29" s="46"/>
      <c r="E29" s="46"/>
      <c r="F29" s="46"/>
      <c r="G29" s="46"/>
      <c r="H29" s="46"/>
      <c r="I29" s="46"/>
      <c r="J29" s="46"/>
      <c r="K29" s="46"/>
      <c r="L29" s="46"/>
      <c r="M29" s="46"/>
      <c r="N29" s="46"/>
    </row>
    <row r="30" spans="1:14">
      <c r="A30" s="46"/>
      <c r="B30" s="46"/>
      <c r="C30" s="46"/>
      <c r="D30" s="46"/>
      <c r="E30" s="46"/>
      <c r="F30" s="46"/>
      <c r="G30" s="46"/>
      <c r="H30" s="46"/>
      <c r="I30" s="46"/>
      <c r="J30" s="46"/>
      <c r="K30" s="46"/>
      <c r="L30" s="46"/>
      <c r="M30" s="46"/>
      <c r="N30" s="46"/>
    </row>
    <row r="31" spans="1:14">
      <c r="A31" s="46"/>
      <c r="B31" s="46"/>
      <c r="C31" s="46"/>
      <c r="D31" s="46"/>
      <c r="E31" s="46"/>
      <c r="F31" s="46"/>
      <c r="G31" s="46"/>
      <c r="H31" s="46"/>
      <c r="I31" s="46"/>
      <c r="J31" s="46"/>
      <c r="K31" s="46"/>
      <c r="L31" s="46"/>
      <c r="M31" s="46"/>
      <c r="N31" s="46"/>
    </row>
    <row r="32" spans="1:14">
      <c r="A32" s="46"/>
      <c r="B32" s="46"/>
      <c r="C32" s="46"/>
      <c r="D32" s="46"/>
      <c r="E32" s="46"/>
      <c r="F32" s="46"/>
      <c r="G32" s="46"/>
      <c r="H32" s="46"/>
      <c r="I32" s="46"/>
      <c r="J32" s="46"/>
      <c r="K32" s="46"/>
      <c r="L32" s="46"/>
      <c r="M32" s="46"/>
      <c r="N32" s="46"/>
    </row>
    <row r="33" spans="1:14">
      <c r="A33" s="46"/>
      <c r="B33" s="46"/>
      <c r="C33" s="46"/>
      <c r="D33" s="46"/>
      <c r="E33" s="46"/>
      <c r="F33" s="46"/>
      <c r="G33" s="46"/>
      <c r="H33" s="46"/>
      <c r="I33" s="46"/>
      <c r="J33" s="46"/>
      <c r="K33" s="46"/>
      <c r="L33" s="46"/>
      <c r="M33" s="46"/>
      <c r="N33" s="46"/>
    </row>
    <row r="34" spans="1:14">
      <c r="A34" s="46"/>
      <c r="B34" s="46"/>
      <c r="C34" s="46"/>
      <c r="D34" s="46"/>
      <c r="E34" s="46"/>
      <c r="F34" s="46"/>
      <c r="G34" s="46"/>
      <c r="H34" s="46"/>
      <c r="I34" s="46"/>
      <c r="J34" s="46"/>
      <c r="K34" s="46"/>
      <c r="L34" s="46"/>
      <c r="M34" s="46"/>
      <c r="N34" s="46"/>
    </row>
    <row r="35" spans="1:14">
      <c r="A35" s="46"/>
      <c r="B35" s="46"/>
      <c r="C35" s="46"/>
      <c r="D35" s="46"/>
      <c r="E35" s="46"/>
      <c r="F35" s="46"/>
      <c r="G35" s="46"/>
      <c r="H35" s="46"/>
      <c r="I35" s="46"/>
      <c r="J35" s="46"/>
      <c r="K35" s="46"/>
      <c r="L35" s="46"/>
      <c r="M35" s="46"/>
      <c r="N35" s="46"/>
    </row>
    <row r="36" spans="1:14">
      <c r="A36" s="46"/>
      <c r="B36" s="46"/>
      <c r="C36" s="46"/>
      <c r="D36" s="46"/>
      <c r="E36" s="46"/>
      <c r="F36" s="46"/>
      <c r="G36" s="46"/>
      <c r="H36" s="46"/>
      <c r="I36" s="46"/>
      <c r="J36" s="46"/>
      <c r="K36" s="46"/>
      <c r="L36" s="46"/>
      <c r="M36" s="46"/>
      <c r="N36" s="46"/>
    </row>
    <row r="37" spans="1:14">
      <c r="A37" s="46"/>
      <c r="B37" s="46"/>
      <c r="C37" s="46"/>
      <c r="D37" s="46"/>
      <c r="E37" s="46"/>
      <c r="F37" s="46"/>
      <c r="G37" s="46"/>
      <c r="H37" s="46"/>
      <c r="I37" s="46"/>
      <c r="J37" s="46"/>
      <c r="K37" s="46"/>
      <c r="L37" s="46"/>
      <c r="M37" s="46"/>
      <c r="N37" s="46"/>
    </row>
    <row r="38" spans="1:14">
      <c r="A38" s="46"/>
      <c r="B38" s="46"/>
      <c r="C38" s="46"/>
      <c r="D38" s="46"/>
      <c r="E38" s="46"/>
      <c r="F38" s="46"/>
      <c r="G38" s="46"/>
      <c r="H38" s="46"/>
      <c r="I38" s="46"/>
      <c r="J38" s="46"/>
      <c r="K38" s="46"/>
      <c r="L38" s="46"/>
      <c r="M38" s="46"/>
      <c r="N38" s="46"/>
    </row>
    <row r="39" spans="1:14">
      <c r="A39" s="46"/>
      <c r="B39" s="46"/>
      <c r="C39" s="46"/>
      <c r="D39" s="46"/>
      <c r="E39" s="46"/>
      <c r="F39" s="46"/>
      <c r="G39" s="46"/>
      <c r="H39" s="46"/>
      <c r="I39" s="46"/>
      <c r="J39" s="46"/>
      <c r="K39" s="46"/>
      <c r="L39" s="46"/>
      <c r="M39" s="46"/>
      <c r="N39" s="46"/>
    </row>
    <row r="40" spans="1:14">
      <c r="A40" s="46"/>
      <c r="B40" s="46"/>
      <c r="C40" s="46"/>
      <c r="D40" s="46"/>
      <c r="E40" s="46"/>
      <c r="F40" s="46"/>
      <c r="G40" s="46"/>
      <c r="H40" s="46"/>
      <c r="I40" s="46"/>
      <c r="J40" s="46"/>
      <c r="K40" s="46"/>
      <c r="L40" s="46"/>
      <c r="M40" s="46"/>
      <c r="N40" s="46"/>
    </row>
    <row r="41" spans="1:14">
      <c r="A41" s="46"/>
      <c r="B41" s="46"/>
      <c r="C41" s="46"/>
      <c r="D41" s="46"/>
      <c r="E41" s="46"/>
      <c r="F41" s="46"/>
      <c r="G41" s="46"/>
      <c r="H41" s="46"/>
      <c r="I41" s="46"/>
      <c r="J41" s="46"/>
      <c r="K41" s="46"/>
      <c r="L41" s="46"/>
      <c r="M41" s="46"/>
      <c r="N41" s="46"/>
    </row>
    <row r="42" spans="1:14">
      <c r="A42" s="46"/>
      <c r="B42" s="46"/>
      <c r="C42" s="46"/>
      <c r="D42" s="46"/>
      <c r="E42" s="46"/>
      <c r="F42" s="46"/>
      <c r="G42" s="46"/>
      <c r="H42" s="46"/>
      <c r="I42" s="46"/>
      <c r="J42" s="46"/>
      <c r="K42" s="46"/>
      <c r="L42" s="46"/>
      <c r="M42" s="46"/>
      <c r="N42" s="46"/>
    </row>
    <row r="43" spans="1:14">
      <c r="A43" s="46"/>
      <c r="B43" s="46"/>
      <c r="C43" s="46"/>
      <c r="D43" s="46"/>
      <c r="E43" s="46"/>
      <c r="F43" s="46"/>
      <c r="G43" s="46"/>
      <c r="H43" s="46"/>
      <c r="I43" s="46"/>
      <c r="J43" s="46"/>
      <c r="K43" s="46"/>
      <c r="L43" s="46"/>
      <c r="M43" s="46"/>
      <c r="N43" s="46"/>
    </row>
    <row r="44" spans="1:14">
      <c r="A44" s="46"/>
      <c r="B44" s="46"/>
      <c r="C44" s="46"/>
      <c r="D44" s="46"/>
      <c r="E44" s="46"/>
      <c r="F44" s="46"/>
      <c r="G44" s="46"/>
      <c r="H44" s="46"/>
      <c r="I44" s="46"/>
      <c r="J44" s="46"/>
      <c r="K44" s="46"/>
      <c r="L44" s="46"/>
      <c r="M44" s="46"/>
      <c r="N44" s="46"/>
    </row>
    <row r="45" spans="1:14">
      <c r="A45" s="46"/>
      <c r="B45" s="46"/>
      <c r="C45" s="46"/>
      <c r="D45" s="46"/>
      <c r="E45" s="46"/>
      <c r="F45" s="46"/>
      <c r="G45" s="46"/>
      <c r="H45" s="46"/>
      <c r="I45" s="46"/>
      <c r="J45" s="46"/>
      <c r="K45" s="46"/>
      <c r="L45" s="46"/>
      <c r="M45" s="46"/>
      <c r="N45" s="46"/>
    </row>
    <row r="46" spans="1:14">
      <c r="A46" s="46"/>
      <c r="B46" s="46"/>
      <c r="C46" s="46"/>
      <c r="D46" s="46"/>
      <c r="E46" s="46"/>
      <c r="F46" s="46"/>
      <c r="G46" s="46"/>
      <c r="H46" s="46"/>
      <c r="I46" s="46"/>
      <c r="J46" s="46"/>
      <c r="K46" s="46"/>
      <c r="L46" s="46"/>
      <c r="M46" s="46"/>
      <c r="N46" s="46"/>
    </row>
    <row r="47" spans="1:14">
      <c r="A47" s="46"/>
      <c r="B47" s="46"/>
      <c r="C47" s="46"/>
      <c r="D47" s="46"/>
      <c r="E47" s="46"/>
      <c r="F47" s="46"/>
      <c r="G47" s="46"/>
      <c r="H47" s="46"/>
      <c r="I47" s="46"/>
      <c r="J47" s="46"/>
      <c r="K47" s="46"/>
      <c r="L47" s="46"/>
      <c r="M47" s="46"/>
      <c r="N47" s="46"/>
    </row>
    <row r="48" spans="1:14">
      <c r="A48" s="46"/>
      <c r="B48" s="46"/>
      <c r="C48" s="46"/>
      <c r="D48" s="46"/>
      <c r="E48" s="46"/>
      <c r="F48" s="46"/>
      <c r="G48" s="46"/>
      <c r="H48" s="46"/>
      <c r="I48" s="46"/>
      <c r="J48" s="46"/>
      <c r="K48" s="46"/>
      <c r="L48" s="46"/>
      <c r="M48" s="46"/>
      <c r="N48" s="46"/>
    </row>
    <row r="49" spans="1:14">
      <c r="A49" s="46"/>
      <c r="B49" s="46"/>
      <c r="C49" s="46"/>
      <c r="D49" s="46"/>
      <c r="E49" s="46"/>
      <c r="F49" s="46"/>
      <c r="G49" s="46"/>
      <c r="H49" s="46"/>
      <c r="I49" s="46"/>
      <c r="J49" s="46"/>
      <c r="K49" s="46"/>
      <c r="L49" s="46"/>
      <c r="M49" s="46"/>
      <c r="N49" s="46"/>
    </row>
    <row r="50" spans="1:14">
      <c r="A50" s="46"/>
      <c r="B50" s="46"/>
      <c r="C50" s="46"/>
      <c r="D50" s="46"/>
      <c r="E50" s="46"/>
      <c r="F50" s="46"/>
      <c r="G50" s="46"/>
      <c r="H50" s="46"/>
      <c r="I50" s="46"/>
      <c r="J50" s="46"/>
      <c r="K50" s="46"/>
      <c r="L50" s="46"/>
      <c r="M50" s="46"/>
      <c r="N50" s="46"/>
    </row>
    <row r="51" spans="1:14">
      <c r="A51" s="46"/>
      <c r="B51" s="46"/>
      <c r="C51" s="46"/>
      <c r="D51" s="46"/>
      <c r="E51" s="46"/>
      <c r="F51" s="46"/>
      <c r="G51" s="46"/>
      <c r="H51" s="46"/>
      <c r="I51" s="46"/>
      <c r="J51" s="46"/>
      <c r="K51" s="46"/>
      <c r="L51" s="46"/>
      <c r="M51" s="46"/>
      <c r="N51" s="46"/>
    </row>
    <row r="52" spans="1:14">
      <c r="A52" s="46"/>
      <c r="B52" s="46"/>
      <c r="C52" s="46"/>
      <c r="D52" s="46"/>
      <c r="E52" s="46"/>
      <c r="F52" s="46"/>
      <c r="G52" s="46"/>
      <c r="H52" s="46"/>
      <c r="I52" s="46"/>
      <c r="J52" s="46"/>
      <c r="K52" s="46"/>
      <c r="L52" s="46"/>
      <c r="M52" s="46"/>
      <c r="N52" s="46"/>
    </row>
    <row r="53" spans="1:14">
      <c r="A53" s="46"/>
      <c r="B53" s="46"/>
      <c r="C53" s="46"/>
      <c r="D53" s="46"/>
      <c r="E53" s="46"/>
      <c r="F53" s="46"/>
      <c r="G53" s="46"/>
      <c r="H53" s="46"/>
      <c r="I53" s="46"/>
      <c r="J53" s="46"/>
      <c r="K53" s="46"/>
      <c r="L53" s="46"/>
      <c r="M53" s="46"/>
      <c r="N53" s="46"/>
    </row>
    <row r="54" spans="1:14">
      <c r="A54" s="46"/>
      <c r="B54" s="46"/>
      <c r="C54" s="46"/>
      <c r="D54" s="46"/>
      <c r="E54" s="46"/>
      <c r="F54" s="46"/>
      <c r="G54" s="46"/>
      <c r="H54" s="46"/>
      <c r="I54" s="46"/>
      <c r="J54" s="46"/>
      <c r="K54" s="46"/>
      <c r="L54" s="46"/>
      <c r="M54" s="46"/>
      <c r="N54" s="46"/>
    </row>
    <row r="55" spans="1:14">
      <c r="A55" s="46"/>
      <c r="B55" s="46"/>
      <c r="C55" s="46"/>
      <c r="D55" s="46"/>
      <c r="E55" s="46"/>
      <c r="F55" s="46"/>
      <c r="G55" s="46"/>
      <c r="H55" s="46"/>
      <c r="I55" s="46"/>
      <c r="J55" s="46"/>
      <c r="K55" s="46"/>
      <c r="L55" s="46"/>
      <c r="M55" s="46"/>
      <c r="N55" s="46"/>
    </row>
    <row r="56" spans="1:14">
      <c r="A56" s="46"/>
      <c r="B56" s="46"/>
      <c r="C56" s="46"/>
      <c r="D56" s="46"/>
      <c r="E56" s="46"/>
      <c r="F56" s="46"/>
      <c r="G56" s="46"/>
      <c r="H56" s="46"/>
      <c r="I56" s="46"/>
      <c r="J56" s="46"/>
      <c r="K56" s="46"/>
      <c r="L56" s="46"/>
      <c r="M56" s="46"/>
      <c r="N56" s="46"/>
    </row>
    <row r="57" spans="1:14">
      <c r="A57" s="46"/>
      <c r="B57" s="46"/>
      <c r="C57" s="46"/>
      <c r="D57" s="46"/>
      <c r="E57" s="46"/>
      <c r="F57" s="46"/>
      <c r="G57" s="46"/>
      <c r="H57" s="46"/>
      <c r="I57" s="46"/>
      <c r="J57" s="46"/>
      <c r="K57" s="46"/>
      <c r="L57" s="46"/>
      <c r="M57" s="46"/>
      <c r="N57" s="46"/>
    </row>
    <row r="58" spans="1:14">
      <c r="A58" s="46"/>
      <c r="B58" s="46"/>
      <c r="C58" s="46"/>
      <c r="D58" s="46"/>
      <c r="E58" s="46"/>
      <c r="F58" s="46"/>
      <c r="G58" s="46"/>
      <c r="H58" s="46"/>
      <c r="I58" s="46"/>
      <c r="J58" s="46"/>
      <c r="K58" s="46"/>
      <c r="L58" s="46"/>
      <c r="M58" s="46"/>
      <c r="N58" s="46"/>
    </row>
    <row r="59" spans="1:14">
      <c r="A59" s="46"/>
      <c r="B59" s="46"/>
      <c r="C59" s="46"/>
      <c r="D59" s="46"/>
      <c r="E59" s="46"/>
      <c r="F59" s="46"/>
      <c r="G59" s="46"/>
      <c r="H59" s="46"/>
      <c r="I59" s="46"/>
      <c r="J59" s="46"/>
      <c r="K59" s="46"/>
      <c r="L59" s="46"/>
      <c r="M59" s="46"/>
      <c r="N59" s="46"/>
    </row>
    <row r="60" spans="1:14">
      <c r="A60" s="46"/>
      <c r="B60" s="46"/>
      <c r="C60" s="46"/>
      <c r="D60" s="46"/>
      <c r="E60" s="46"/>
      <c r="F60" s="46"/>
      <c r="G60" s="46"/>
      <c r="H60" s="46"/>
      <c r="I60" s="46"/>
      <c r="J60" s="46"/>
      <c r="K60" s="46"/>
      <c r="L60" s="46"/>
      <c r="M60" s="46"/>
      <c r="N60" s="46"/>
    </row>
    <row r="61" spans="1:14">
      <c r="A61" s="46"/>
      <c r="B61" s="46"/>
      <c r="C61" s="46"/>
      <c r="D61" s="46"/>
      <c r="E61" s="46"/>
      <c r="F61" s="46"/>
      <c r="G61" s="46"/>
      <c r="H61" s="46"/>
      <c r="I61" s="46"/>
      <c r="J61" s="46"/>
      <c r="K61" s="46"/>
      <c r="L61" s="46"/>
      <c r="M61" s="46"/>
      <c r="N61" s="46"/>
    </row>
    <row r="62" spans="1:14">
      <c r="A62" s="46"/>
      <c r="B62" s="46"/>
      <c r="C62" s="46"/>
      <c r="D62" s="46"/>
      <c r="E62" s="46"/>
      <c r="F62" s="46"/>
      <c r="G62" s="46"/>
      <c r="H62" s="46"/>
      <c r="I62" s="46"/>
      <c r="J62" s="46"/>
      <c r="K62" s="46"/>
      <c r="L62" s="46"/>
      <c r="M62" s="46"/>
      <c r="N62" s="46"/>
    </row>
    <row r="63" spans="1:14">
      <c r="A63" s="46"/>
      <c r="B63" s="46"/>
      <c r="C63" s="46"/>
      <c r="D63" s="46"/>
      <c r="E63" s="46"/>
      <c r="F63" s="46"/>
      <c r="G63" s="46"/>
      <c r="H63" s="46"/>
      <c r="I63" s="46"/>
      <c r="J63" s="46"/>
      <c r="K63" s="46"/>
      <c r="L63" s="46"/>
      <c r="M63" s="46"/>
      <c r="N63" s="46"/>
    </row>
    <row r="64" spans="1:14">
      <c r="A64" s="46"/>
      <c r="B64" s="46"/>
      <c r="C64" s="46"/>
      <c r="D64" s="46"/>
      <c r="E64" s="46"/>
      <c r="F64" s="46"/>
      <c r="G64" s="46"/>
      <c r="H64" s="46"/>
      <c r="I64" s="46"/>
      <c r="J64" s="46"/>
      <c r="K64" s="46"/>
      <c r="L64" s="46"/>
      <c r="M64" s="46"/>
      <c r="N64" s="46"/>
    </row>
    <row r="65" spans="1:14">
      <c r="A65" s="46"/>
      <c r="B65" s="46"/>
      <c r="C65" s="46"/>
      <c r="D65" s="46"/>
      <c r="E65" s="46"/>
      <c r="F65" s="46"/>
      <c r="G65" s="46"/>
      <c r="H65" s="46"/>
      <c r="I65" s="46"/>
      <c r="J65" s="46"/>
      <c r="K65" s="46"/>
      <c r="L65" s="46"/>
      <c r="M65" s="46"/>
      <c r="N65" s="46"/>
    </row>
    <row r="66" spans="1:14">
      <c r="A66" s="46"/>
      <c r="B66" s="46"/>
      <c r="C66" s="46"/>
      <c r="D66" s="46"/>
      <c r="E66" s="46"/>
      <c r="F66" s="46"/>
      <c r="G66" s="46"/>
      <c r="H66" s="46"/>
      <c r="I66" s="46"/>
      <c r="J66" s="46"/>
      <c r="K66" s="46"/>
      <c r="L66" s="46"/>
      <c r="M66" s="46"/>
      <c r="N66" s="46"/>
    </row>
    <row r="67" spans="1:14">
      <c r="A67" s="46"/>
      <c r="B67" s="46"/>
      <c r="C67" s="46"/>
      <c r="D67" s="46"/>
      <c r="E67" s="46"/>
      <c r="F67" s="46"/>
      <c r="G67" s="46"/>
      <c r="H67" s="46"/>
      <c r="I67" s="46"/>
      <c r="J67" s="46"/>
      <c r="K67" s="46"/>
      <c r="L67" s="46"/>
      <c r="M67" s="46"/>
      <c r="N67" s="46"/>
    </row>
    <row r="68" spans="1:14">
      <c r="A68" s="46"/>
      <c r="B68" s="46"/>
      <c r="C68" s="46"/>
      <c r="D68" s="46"/>
      <c r="E68" s="46"/>
      <c r="F68" s="46"/>
      <c r="G68" s="46"/>
      <c r="H68" s="46"/>
      <c r="I68" s="46"/>
      <c r="J68" s="46"/>
      <c r="K68" s="46"/>
      <c r="L68" s="46"/>
      <c r="M68" s="46"/>
      <c r="N68" s="46"/>
    </row>
    <row r="69" spans="1:14">
      <c r="A69" s="46"/>
      <c r="B69" s="46"/>
      <c r="C69" s="46"/>
      <c r="D69" s="46"/>
      <c r="E69" s="46"/>
      <c r="F69" s="46"/>
      <c r="G69" s="46"/>
      <c r="H69" s="46"/>
      <c r="I69" s="46"/>
      <c r="J69" s="46"/>
      <c r="K69" s="46"/>
      <c r="L69" s="46"/>
      <c r="M69" s="46"/>
      <c r="N69" s="46"/>
    </row>
    <row r="70" spans="1:14">
      <c r="A70" s="46"/>
      <c r="B70" s="46"/>
      <c r="C70" s="46"/>
      <c r="D70" s="46"/>
      <c r="E70" s="46"/>
      <c r="F70" s="46"/>
      <c r="G70" s="46"/>
      <c r="H70" s="46"/>
      <c r="I70" s="46"/>
      <c r="J70" s="46"/>
      <c r="K70" s="46"/>
      <c r="L70" s="46"/>
      <c r="M70" s="46"/>
      <c r="N70" s="46"/>
    </row>
    <row r="71" spans="1:14">
      <c r="A71" s="46"/>
      <c r="B71" s="46"/>
      <c r="C71" s="46"/>
      <c r="D71" s="46"/>
      <c r="E71" s="46"/>
      <c r="F71" s="46"/>
      <c r="G71" s="46"/>
      <c r="H71" s="46"/>
      <c r="I71" s="46"/>
      <c r="J71" s="46"/>
      <c r="K71" s="46"/>
      <c r="L71" s="46"/>
      <c r="M71" s="46"/>
      <c r="N71" s="46"/>
    </row>
    <row r="72" spans="1:14">
      <c r="A72" s="46"/>
      <c r="B72" s="46"/>
      <c r="C72" s="46"/>
      <c r="D72" s="46"/>
      <c r="E72" s="46"/>
      <c r="F72" s="46"/>
      <c r="G72" s="46"/>
      <c r="H72" s="46"/>
      <c r="I72" s="46"/>
      <c r="J72" s="46"/>
      <c r="K72" s="46"/>
      <c r="L72" s="46"/>
      <c r="M72" s="46"/>
      <c r="N72" s="46"/>
    </row>
    <row r="73" spans="1:14">
      <c r="A73" s="46"/>
      <c r="B73" s="46"/>
      <c r="C73" s="46"/>
      <c r="D73" s="46"/>
      <c r="E73" s="46"/>
      <c r="F73" s="46"/>
      <c r="G73" s="46"/>
      <c r="H73" s="46"/>
      <c r="I73" s="46"/>
      <c r="J73" s="46"/>
      <c r="K73" s="46"/>
      <c r="L73" s="46"/>
      <c r="M73" s="46"/>
      <c r="N73" s="46"/>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5AA7-CC6D-4420-88A4-5395222F3A63}">
  <dimension ref="A1:AI252"/>
  <sheetViews>
    <sheetView topLeftCell="A3" workbookViewId="0">
      <selection activeCell="S12" sqref="S12"/>
    </sheetView>
  </sheetViews>
  <sheetFormatPr defaultRowHeight="14.4"/>
  <cols>
    <col min="2" max="2" width="10.33203125" bestFit="1" customWidth="1"/>
    <col min="13" max="13" width="10.33203125" bestFit="1" customWidth="1"/>
  </cols>
  <sheetData>
    <row r="1" spans="1:35" ht="15" thickBot="1">
      <c r="A1" t="s">
        <v>447</v>
      </c>
    </row>
    <row r="2" spans="1:35"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13" t="s">
        <v>448</v>
      </c>
    </row>
    <row r="3" spans="1:35"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O3" t="str">
        <f>IF(N2&gt;3000,"High",IF(N2&gt;1000,"Medium","Low"))</f>
        <v>High</v>
      </c>
      <c r="Q3" t="s">
        <v>449</v>
      </c>
    </row>
    <row r="4" spans="1:35"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t="str">
        <f t="shared" ref="O4:O67" si="0">IF(N3&gt;3000,"High",IF(N3&gt;1000,"Medium","Low"))</f>
        <v>Low</v>
      </c>
      <c r="Q4" s="39" t="s">
        <v>450</v>
      </c>
      <c r="R4" s="39"/>
      <c r="S4" s="39"/>
      <c r="T4" s="39"/>
      <c r="U4" s="39"/>
      <c r="V4" s="39"/>
      <c r="W4" s="39"/>
      <c r="X4" s="39"/>
      <c r="Y4" s="39"/>
      <c r="Z4" s="39"/>
      <c r="AA4" s="39"/>
      <c r="AB4" s="39"/>
      <c r="AC4" s="39"/>
      <c r="AD4" s="39"/>
      <c r="AE4" s="39"/>
      <c r="AF4" s="39"/>
      <c r="AG4" s="39"/>
      <c r="AH4" s="39"/>
      <c r="AI4" s="39"/>
    </row>
    <row r="5" spans="1:35"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O5" t="str">
        <f t="shared" si="0"/>
        <v>Low</v>
      </c>
    </row>
    <row r="6" spans="1:35"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O6" t="str">
        <f t="shared" si="0"/>
        <v>Low</v>
      </c>
    </row>
    <row r="7" spans="1:35"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O7" t="str">
        <f t="shared" si="0"/>
        <v>Low</v>
      </c>
    </row>
    <row r="8" spans="1:35"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O8" t="str">
        <f t="shared" si="0"/>
        <v>Low</v>
      </c>
    </row>
    <row r="9" spans="1:35"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O9" t="str">
        <f t="shared" si="0"/>
        <v>Low</v>
      </c>
    </row>
    <row r="10" spans="1:35"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O10" t="str">
        <f t="shared" si="0"/>
        <v>Low</v>
      </c>
    </row>
    <row r="11" spans="1:35"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O11" t="str">
        <f t="shared" si="0"/>
        <v>Low</v>
      </c>
    </row>
    <row r="12" spans="1:35"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O12" t="str">
        <f t="shared" si="0"/>
        <v>Medium</v>
      </c>
    </row>
    <row r="13" spans="1:35"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O13" t="str">
        <f t="shared" si="0"/>
        <v>Low</v>
      </c>
    </row>
    <row r="14" spans="1:35"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O14" t="str">
        <f t="shared" si="0"/>
        <v>Low</v>
      </c>
    </row>
    <row r="15" spans="1:35"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O15" t="str">
        <f t="shared" si="0"/>
        <v>Low</v>
      </c>
    </row>
    <row r="16" spans="1:35"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O16" t="str">
        <f t="shared" si="0"/>
        <v>Low</v>
      </c>
    </row>
    <row r="17" spans="1:15"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O17" t="str">
        <f t="shared" si="0"/>
        <v>Low</v>
      </c>
    </row>
    <row r="18" spans="1:15"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O18" t="str">
        <f t="shared" si="0"/>
        <v>Medium</v>
      </c>
    </row>
    <row r="19" spans="1:15"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O19" t="str">
        <f t="shared" si="0"/>
        <v>Low</v>
      </c>
    </row>
    <row r="20" spans="1:15"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O20" t="str">
        <f t="shared" si="0"/>
        <v>Low</v>
      </c>
    </row>
    <row r="21" spans="1:15"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O21" t="str">
        <f t="shared" si="0"/>
        <v>Medium</v>
      </c>
    </row>
    <row r="22" spans="1:15"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O22" t="str">
        <f t="shared" si="0"/>
        <v>High</v>
      </c>
    </row>
    <row r="23" spans="1:15"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O23" t="str">
        <f t="shared" si="0"/>
        <v>Low</v>
      </c>
    </row>
    <row r="24" spans="1:15"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O24" t="str">
        <f t="shared" si="0"/>
        <v>High</v>
      </c>
    </row>
    <row r="25" spans="1:15"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O25" t="str">
        <f t="shared" si="0"/>
        <v>Medium</v>
      </c>
    </row>
    <row r="26" spans="1:15"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O26" t="str">
        <f t="shared" si="0"/>
        <v>Low</v>
      </c>
    </row>
    <row r="27" spans="1:15"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O27" t="str">
        <f t="shared" si="0"/>
        <v>Medium</v>
      </c>
    </row>
    <row r="28" spans="1:15"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O28" t="str">
        <f t="shared" si="0"/>
        <v>Medium</v>
      </c>
    </row>
    <row r="29" spans="1:15"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O29" t="str">
        <f t="shared" si="0"/>
        <v>Medium</v>
      </c>
    </row>
    <row r="30" spans="1:15"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O30" t="str">
        <f t="shared" si="0"/>
        <v>Low</v>
      </c>
    </row>
    <row r="31" spans="1:15"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O31" t="str">
        <f t="shared" si="0"/>
        <v>Low</v>
      </c>
    </row>
    <row r="32" spans="1:15"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O32" t="str">
        <f t="shared" si="0"/>
        <v>Low</v>
      </c>
    </row>
    <row r="33" spans="1:15"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O33" t="str">
        <f t="shared" si="0"/>
        <v>Low</v>
      </c>
    </row>
    <row r="34" spans="1:15"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O34" t="str">
        <f t="shared" si="0"/>
        <v>Low</v>
      </c>
    </row>
    <row r="35" spans="1:15"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O35" t="str">
        <f t="shared" si="0"/>
        <v>Low</v>
      </c>
    </row>
    <row r="36" spans="1:15"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O36" t="str">
        <f t="shared" si="0"/>
        <v>Low</v>
      </c>
    </row>
    <row r="37" spans="1:15"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O37" t="str">
        <f t="shared" si="0"/>
        <v>Low</v>
      </c>
    </row>
    <row r="38" spans="1:15"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O38" t="str">
        <f t="shared" si="0"/>
        <v>Low</v>
      </c>
    </row>
    <row r="39" spans="1:15"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O39" t="str">
        <f t="shared" si="0"/>
        <v>Low</v>
      </c>
    </row>
    <row r="40" spans="1:15"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O40" t="str">
        <f t="shared" si="0"/>
        <v>Low</v>
      </c>
    </row>
    <row r="41" spans="1:15"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O41" t="str">
        <f t="shared" si="0"/>
        <v>High</v>
      </c>
    </row>
    <row r="42" spans="1:15"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O42" t="str">
        <f t="shared" si="0"/>
        <v>Low</v>
      </c>
    </row>
    <row r="43" spans="1:15"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O43" t="str">
        <f t="shared" si="0"/>
        <v>Low</v>
      </c>
    </row>
    <row r="44" spans="1:15"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O44" t="str">
        <f t="shared" si="0"/>
        <v>Low</v>
      </c>
    </row>
    <row r="45" spans="1:15"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O45" t="str">
        <f t="shared" si="0"/>
        <v>Low</v>
      </c>
    </row>
    <row r="46" spans="1:15"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O46" t="str">
        <f t="shared" si="0"/>
        <v>Low</v>
      </c>
    </row>
    <row r="47" spans="1:15"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O47" t="str">
        <f t="shared" si="0"/>
        <v>Medium</v>
      </c>
    </row>
    <row r="48" spans="1:15"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O48" t="str">
        <f t="shared" si="0"/>
        <v>Low</v>
      </c>
    </row>
    <row r="49" spans="1:15"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O49" t="str">
        <f t="shared" si="0"/>
        <v>Low</v>
      </c>
    </row>
    <row r="50" spans="1:15"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O50" t="str">
        <f t="shared" si="0"/>
        <v>Low</v>
      </c>
    </row>
    <row r="51" spans="1:15"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O51" t="str">
        <f t="shared" si="0"/>
        <v>Low</v>
      </c>
    </row>
    <row r="52" spans="1:15"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O52" t="str">
        <f t="shared" si="0"/>
        <v>Low</v>
      </c>
    </row>
    <row r="53" spans="1:15"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O53" t="str">
        <f t="shared" si="0"/>
        <v>High</v>
      </c>
    </row>
    <row r="54" spans="1:15"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O54" t="str">
        <f t="shared" si="0"/>
        <v>High</v>
      </c>
    </row>
    <row r="55" spans="1:15"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O55" t="str">
        <f t="shared" si="0"/>
        <v>Low</v>
      </c>
    </row>
    <row r="56" spans="1:15"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O56" t="str">
        <f t="shared" si="0"/>
        <v>Low</v>
      </c>
    </row>
    <row r="57" spans="1:15"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O57" t="str">
        <f t="shared" si="0"/>
        <v>Low</v>
      </c>
    </row>
    <row r="58" spans="1:15"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O58" t="str">
        <f t="shared" si="0"/>
        <v>Low</v>
      </c>
    </row>
    <row r="59" spans="1:15"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O59" t="str">
        <f t="shared" si="0"/>
        <v>Low</v>
      </c>
    </row>
    <row r="60" spans="1:15"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O60" t="str">
        <f t="shared" si="0"/>
        <v>Medium</v>
      </c>
    </row>
    <row r="61" spans="1:15"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O61" t="str">
        <f t="shared" si="0"/>
        <v>High</v>
      </c>
    </row>
    <row r="62" spans="1:15"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O62" t="str">
        <f t="shared" si="0"/>
        <v>Low</v>
      </c>
    </row>
    <row r="63" spans="1:15"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O63" t="str">
        <f t="shared" si="0"/>
        <v>Low</v>
      </c>
    </row>
    <row r="64" spans="1:15"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O64" t="str">
        <f t="shared" si="0"/>
        <v>Low</v>
      </c>
    </row>
    <row r="65" spans="1:15"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O65" t="str">
        <f t="shared" si="0"/>
        <v>Low</v>
      </c>
    </row>
    <row r="66" spans="1:15"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O66" t="str">
        <f t="shared" si="0"/>
        <v>Low</v>
      </c>
    </row>
    <row r="67" spans="1:15"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O67" t="str">
        <f t="shared" si="0"/>
        <v>Low</v>
      </c>
    </row>
    <row r="68" spans="1:15"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O68" t="str">
        <f t="shared" ref="O68:O131" si="1">IF(N67&gt;3000,"High",IF(N67&gt;1000,"Medium","Low"))</f>
        <v>Medium</v>
      </c>
    </row>
    <row r="69" spans="1:15"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O69" t="str">
        <f t="shared" si="1"/>
        <v>Low</v>
      </c>
    </row>
    <row r="70" spans="1:15"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O70" t="str">
        <f t="shared" si="1"/>
        <v>Low</v>
      </c>
    </row>
    <row r="71" spans="1:15"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O71" t="str">
        <f t="shared" si="1"/>
        <v>Low</v>
      </c>
    </row>
    <row r="72" spans="1:15"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O72" t="str">
        <f t="shared" si="1"/>
        <v>Low</v>
      </c>
    </row>
    <row r="73" spans="1:15"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O73" t="str">
        <f t="shared" si="1"/>
        <v>Low</v>
      </c>
    </row>
    <row r="74" spans="1:15"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O74" t="str">
        <f t="shared" si="1"/>
        <v>Low</v>
      </c>
    </row>
    <row r="75" spans="1:15"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O75" t="str">
        <f t="shared" si="1"/>
        <v>Low</v>
      </c>
    </row>
    <row r="76" spans="1:15"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O76" t="str">
        <f t="shared" si="1"/>
        <v>Low</v>
      </c>
    </row>
    <row r="77" spans="1:15"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O77" t="str">
        <f t="shared" si="1"/>
        <v>Low</v>
      </c>
    </row>
    <row r="78" spans="1:15"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O78" t="str">
        <f t="shared" si="1"/>
        <v>High</v>
      </c>
    </row>
    <row r="79" spans="1:15"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O79" t="str">
        <f t="shared" si="1"/>
        <v>Low</v>
      </c>
    </row>
    <row r="80" spans="1:15"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O80" t="str">
        <f t="shared" si="1"/>
        <v>Low</v>
      </c>
    </row>
    <row r="81" spans="1:15"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O81" t="str">
        <f t="shared" si="1"/>
        <v>Low</v>
      </c>
    </row>
    <row r="82" spans="1:15"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O82" t="str">
        <f t="shared" si="1"/>
        <v>Low</v>
      </c>
    </row>
    <row r="83" spans="1:15"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O83" t="str">
        <f t="shared" si="1"/>
        <v>Low</v>
      </c>
    </row>
    <row r="84" spans="1:15"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O84" t="str">
        <f t="shared" si="1"/>
        <v>Low</v>
      </c>
    </row>
    <row r="85" spans="1:15"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O85" t="str">
        <f t="shared" si="1"/>
        <v>Medium</v>
      </c>
    </row>
    <row r="86" spans="1:15"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O86" t="str">
        <f t="shared" si="1"/>
        <v>High</v>
      </c>
    </row>
    <row r="87" spans="1:15"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O87" t="str">
        <f t="shared" si="1"/>
        <v>Low</v>
      </c>
    </row>
    <row r="88" spans="1:15"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O88" t="str">
        <f t="shared" si="1"/>
        <v>Low</v>
      </c>
    </row>
    <row r="89" spans="1:15"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O89" t="str">
        <f t="shared" si="1"/>
        <v>Low</v>
      </c>
    </row>
    <row r="90" spans="1:15"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O90" t="str">
        <f t="shared" si="1"/>
        <v>Medium</v>
      </c>
    </row>
    <row r="91" spans="1:15"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O91" t="str">
        <f t="shared" si="1"/>
        <v>Low</v>
      </c>
    </row>
    <row r="92" spans="1:15"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O92" t="str">
        <f t="shared" si="1"/>
        <v>Medium</v>
      </c>
    </row>
    <row r="93" spans="1:15"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O93" t="str">
        <f t="shared" si="1"/>
        <v>Low</v>
      </c>
    </row>
    <row r="94" spans="1:15"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O94" t="str">
        <f t="shared" si="1"/>
        <v>Low</v>
      </c>
    </row>
    <row r="95" spans="1:15"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O95" t="str">
        <f t="shared" si="1"/>
        <v>Low</v>
      </c>
    </row>
    <row r="96" spans="1:15"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O96" t="str">
        <f t="shared" si="1"/>
        <v>Low</v>
      </c>
    </row>
    <row r="97" spans="1:15"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O97" t="str">
        <f t="shared" si="1"/>
        <v>High</v>
      </c>
    </row>
    <row r="98" spans="1:15"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O98" t="str">
        <f t="shared" si="1"/>
        <v>Low</v>
      </c>
    </row>
    <row r="99" spans="1:15"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O99" t="str">
        <f t="shared" si="1"/>
        <v>Low</v>
      </c>
    </row>
    <row r="100" spans="1:15"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O100" t="str">
        <f t="shared" si="1"/>
        <v>Low</v>
      </c>
    </row>
    <row r="101" spans="1:15"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O101" t="str">
        <f t="shared" si="1"/>
        <v>Low</v>
      </c>
    </row>
    <row r="102" spans="1:15"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O102" t="str">
        <f t="shared" si="1"/>
        <v>Low</v>
      </c>
    </row>
    <row r="103" spans="1:15"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O103" t="str">
        <f t="shared" si="1"/>
        <v>Low</v>
      </c>
    </row>
    <row r="104" spans="1:15"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O104" t="str">
        <f t="shared" si="1"/>
        <v>Medium</v>
      </c>
    </row>
    <row r="105" spans="1:15"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O105" t="str">
        <f t="shared" si="1"/>
        <v>Low</v>
      </c>
    </row>
    <row r="106" spans="1:15"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O106" t="str">
        <f t="shared" si="1"/>
        <v>Low</v>
      </c>
    </row>
    <row r="107" spans="1:15"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O107" t="str">
        <f t="shared" si="1"/>
        <v>Medium</v>
      </c>
    </row>
    <row r="108" spans="1:15"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O108" t="str">
        <f t="shared" si="1"/>
        <v>Low</v>
      </c>
    </row>
    <row r="109" spans="1:15"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O109" t="str">
        <f t="shared" si="1"/>
        <v>Low</v>
      </c>
    </row>
    <row r="110" spans="1:15"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O110" t="str">
        <f t="shared" si="1"/>
        <v>Low</v>
      </c>
    </row>
    <row r="111" spans="1:15"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O111" t="str">
        <f t="shared" si="1"/>
        <v>Low</v>
      </c>
    </row>
    <row r="112" spans="1:15"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O112" t="str">
        <f t="shared" si="1"/>
        <v>Low</v>
      </c>
    </row>
    <row r="113" spans="1:15"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O113" t="str">
        <f t="shared" si="1"/>
        <v>Low</v>
      </c>
    </row>
    <row r="114" spans="1:15"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O114" t="str">
        <f t="shared" si="1"/>
        <v>Low</v>
      </c>
    </row>
    <row r="115" spans="1:15"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O115" t="str">
        <f t="shared" si="1"/>
        <v>Low</v>
      </c>
    </row>
    <row r="116" spans="1:15"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O116" t="str">
        <f t="shared" si="1"/>
        <v>Low</v>
      </c>
    </row>
    <row r="117" spans="1:15"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O117" t="str">
        <f t="shared" si="1"/>
        <v>Low</v>
      </c>
    </row>
    <row r="118" spans="1:15"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O118" t="str">
        <f t="shared" si="1"/>
        <v>Low</v>
      </c>
    </row>
    <row r="119" spans="1:15"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O119" t="str">
        <f t="shared" si="1"/>
        <v>Medium</v>
      </c>
    </row>
    <row r="120" spans="1:15"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O120" t="str">
        <f t="shared" si="1"/>
        <v>Medium</v>
      </c>
    </row>
    <row r="121" spans="1:15"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O121" t="str">
        <f t="shared" si="1"/>
        <v>Low</v>
      </c>
    </row>
    <row r="122" spans="1:15"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O122" t="str">
        <f t="shared" si="1"/>
        <v>Low</v>
      </c>
    </row>
    <row r="123" spans="1:15"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O123" t="str">
        <f t="shared" si="1"/>
        <v>Low</v>
      </c>
    </row>
    <row r="124" spans="1:15"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O124" t="str">
        <f t="shared" si="1"/>
        <v>Medium</v>
      </c>
    </row>
    <row r="125" spans="1:15"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O125" t="str">
        <f t="shared" si="1"/>
        <v>Low</v>
      </c>
    </row>
    <row r="126" spans="1:15"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O126" t="str">
        <f t="shared" si="1"/>
        <v>Low</v>
      </c>
    </row>
    <row r="127" spans="1:15"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O127" t="str">
        <f t="shared" si="1"/>
        <v>Medium</v>
      </c>
    </row>
    <row r="128" spans="1:15"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O128" t="str">
        <f t="shared" si="1"/>
        <v>Low</v>
      </c>
    </row>
    <row r="129" spans="1:15"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O129" t="str">
        <f t="shared" si="1"/>
        <v>Low</v>
      </c>
    </row>
    <row r="130" spans="1:15"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O130" t="str">
        <f t="shared" si="1"/>
        <v>Medium</v>
      </c>
    </row>
    <row r="131" spans="1:15"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O131" t="str">
        <f t="shared" si="1"/>
        <v>High</v>
      </c>
    </row>
    <row r="132" spans="1:15"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O132" t="str">
        <f t="shared" ref="O132:O195" si="2">IF(N131&gt;3000,"High",IF(N131&gt;1000,"Medium","Low"))</f>
        <v>Medium</v>
      </c>
    </row>
    <row r="133" spans="1:15"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O133" t="str">
        <f t="shared" si="2"/>
        <v>Low</v>
      </c>
    </row>
    <row r="134" spans="1:15"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O134" t="str">
        <f t="shared" si="2"/>
        <v>Low</v>
      </c>
    </row>
    <row r="135" spans="1:15"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O135" t="str">
        <f t="shared" si="2"/>
        <v>Low</v>
      </c>
    </row>
    <row r="136" spans="1:15"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O136" t="str">
        <f t="shared" si="2"/>
        <v>Low</v>
      </c>
    </row>
    <row r="137" spans="1:15"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O137" t="str">
        <f t="shared" si="2"/>
        <v>Medium</v>
      </c>
    </row>
    <row r="138" spans="1:15"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O138" t="str">
        <f t="shared" si="2"/>
        <v>High</v>
      </c>
    </row>
    <row r="139" spans="1:15"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O139" t="str">
        <f t="shared" si="2"/>
        <v>Low</v>
      </c>
    </row>
    <row r="140" spans="1:15"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O140" t="str">
        <f t="shared" si="2"/>
        <v>Medium</v>
      </c>
    </row>
    <row r="141" spans="1:15"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O141" t="str">
        <f t="shared" si="2"/>
        <v>Low</v>
      </c>
    </row>
    <row r="142" spans="1:15"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O142" t="str">
        <f t="shared" si="2"/>
        <v>Low</v>
      </c>
    </row>
    <row r="143" spans="1:15"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O143" t="str">
        <f t="shared" si="2"/>
        <v>Low</v>
      </c>
    </row>
    <row r="144" spans="1:15"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O144" t="str">
        <f t="shared" si="2"/>
        <v>Low</v>
      </c>
    </row>
    <row r="145" spans="1:15"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O145" t="str">
        <f t="shared" si="2"/>
        <v>Low</v>
      </c>
    </row>
    <row r="146" spans="1:15"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O146" t="str">
        <f t="shared" si="2"/>
        <v>Low</v>
      </c>
    </row>
    <row r="147" spans="1:15"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O147" t="str">
        <f t="shared" si="2"/>
        <v>Low</v>
      </c>
    </row>
    <row r="148" spans="1:15"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O148" t="str">
        <f t="shared" si="2"/>
        <v>Low</v>
      </c>
    </row>
    <row r="149" spans="1:15"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O149" t="str">
        <f t="shared" si="2"/>
        <v>Low</v>
      </c>
    </row>
    <row r="150" spans="1:15"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O150" t="str">
        <f t="shared" si="2"/>
        <v>Low</v>
      </c>
    </row>
    <row r="151" spans="1:15"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O151" t="str">
        <f t="shared" si="2"/>
        <v>Medium</v>
      </c>
    </row>
    <row r="152" spans="1:15"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O152" t="str">
        <f t="shared" si="2"/>
        <v>Low</v>
      </c>
    </row>
    <row r="153" spans="1:15"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O153" t="str">
        <f t="shared" si="2"/>
        <v>Low</v>
      </c>
    </row>
    <row r="154" spans="1:15"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O154" t="str">
        <f t="shared" si="2"/>
        <v>Medium</v>
      </c>
    </row>
    <row r="155" spans="1:15"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O155" t="str">
        <f t="shared" si="2"/>
        <v>Medium</v>
      </c>
    </row>
    <row r="156" spans="1:15"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O156" t="str">
        <f t="shared" si="2"/>
        <v>Low</v>
      </c>
    </row>
    <row r="157" spans="1:15"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O157" t="str">
        <f t="shared" si="2"/>
        <v>Low</v>
      </c>
    </row>
    <row r="158" spans="1:15"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O158" t="str">
        <f t="shared" si="2"/>
        <v>Medium</v>
      </c>
    </row>
    <row r="159" spans="1:15"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O159" t="str">
        <f t="shared" si="2"/>
        <v>Low</v>
      </c>
    </row>
    <row r="160" spans="1:15"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O160" t="str">
        <f t="shared" si="2"/>
        <v>High</v>
      </c>
    </row>
    <row r="161" spans="1:15"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O161" t="str">
        <f t="shared" si="2"/>
        <v>Low</v>
      </c>
    </row>
    <row r="162" spans="1:15"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O162" t="str">
        <f t="shared" si="2"/>
        <v>Medium</v>
      </c>
    </row>
    <row r="163" spans="1:15"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O163" t="str">
        <f t="shared" si="2"/>
        <v>Low</v>
      </c>
    </row>
    <row r="164" spans="1:15"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O164" t="str">
        <f t="shared" si="2"/>
        <v>Low</v>
      </c>
    </row>
    <row r="165" spans="1:15"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O165" t="str">
        <f t="shared" si="2"/>
        <v>Low</v>
      </c>
    </row>
    <row r="166" spans="1:15"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O166" t="str">
        <f t="shared" si="2"/>
        <v>Low</v>
      </c>
    </row>
    <row r="167" spans="1:15"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O167" t="str">
        <f t="shared" si="2"/>
        <v>Medium</v>
      </c>
    </row>
    <row r="168" spans="1:15"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O168" t="str">
        <f t="shared" si="2"/>
        <v>Low</v>
      </c>
    </row>
    <row r="169" spans="1:15"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O169" t="str">
        <f t="shared" si="2"/>
        <v>Low</v>
      </c>
    </row>
    <row r="170" spans="1:15"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O170" t="str">
        <f t="shared" si="2"/>
        <v>Low</v>
      </c>
    </row>
    <row r="171" spans="1:15"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O171" t="str">
        <f t="shared" si="2"/>
        <v>Low</v>
      </c>
    </row>
    <row r="172" spans="1:15"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O172" t="str">
        <f t="shared" si="2"/>
        <v>High</v>
      </c>
    </row>
    <row r="173" spans="1:15"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O173" t="str">
        <f t="shared" si="2"/>
        <v>Low</v>
      </c>
    </row>
    <row r="174" spans="1:15"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O174" t="str">
        <f t="shared" si="2"/>
        <v>Low</v>
      </c>
    </row>
    <row r="175" spans="1:15"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O175" t="str">
        <f t="shared" si="2"/>
        <v>Low</v>
      </c>
    </row>
    <row r="176" spans="1:15"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O176" t="str">
        <f t="shared" si="2"/>
        <v>Low</v>
      </c>
    </row>
    <row r="177" spans="1:15"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O177" t="str">
        <f t="shared" si="2"/>
        <v>Low</v>
      </c>
    </row>
    <row r="178" spans="1:15"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O178" t="str">
        <f t="shared" si="2"/>
        <v>Low</v>
      </c>
    </row>
    <row r="179" spans="1:15"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O179" t="str">
        <f t="shared" si="2"/>
        <v>Low</v>
      </c>
    </row>
    <row r="180" spans="1:15"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O180" t="str">
        <f t="shared" si="2"/>
        <v>Low</v>
      </c>
    </row>
    <row r="181" spans="1:15"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O181" t="str">
        <f t="shared" si="2"/>
        <v>Low</v>
      </c>
    </row>
    <row r="182" spans="1:15"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O182" t="str">
        <f t="shared" si="2"/>
        <v>Low</v>
      </c>
    </row>
    <row r="183" spans="1:15"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O183" t="str">
        <f t="shared" si="2"/>
        <v>Low</v>
      </c>
    </row>
    <row r="184" spans="1:15"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O184" t="str">
        <f t="shared" si="2"/>
        <v>Low</v>
      </c>
    </row>
    <row r="185" spans="1:15"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O185" t="str">
        <f t="shared" si="2"/>
        <v>Low</v>
      </c>
    </row>
    <row r="186" spans="1:15"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O186" t="str">
        <f t="shared" si="2"/>
        <v>Medium</v>
      </c>
    </row>
    <row r="187" spans="1:15"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O187" t="str">
        <f t="shared" si="2"/>
        <v>Low</v>
      </c>
    </row>
    <row r="188" spans="1:15"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O188" t="str">
        <f t="shared" si="2"/>
        <v>Medium</v>
      </c>
    </row>
    <row r="189" spans="1:15"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O189" t="str">
        <f t="shared" si="2"/>
        <v>Low</v>
      </c>
    </row>
    <row r="190" spans="1:15"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O190" t="str">
        <f t="shared" si="2"/>
        <v>Medium</v>
      </c>
    </row>
    <row r="191" spans="1:15"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O191" t="str">
        <f t="shared" si="2"/>
        <v>Low</v>
      </c>
    </row>
    <row r="192" spans="1:15"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O192" t="str">
        <f t="shared" si="2"/>
        <v>Low</v>
      </c>
    </row>
    <row r="193" spans="1:15"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O193" t="str">
        <f t="shared" si="2"/>
        <v>Low</v>
      </c>
    </row>
    <row r="194" spans="1:15"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O194" t="str">
        <f t="shared" si="2"/>
        <v>Low</v>
      </c>
    </row>
    <row r="195" spans="1:15"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O195" t="str">
        <f t="shared" si="2"/>
        <v>Low</v>
      </c>
    </row>
    <row r="196" spans="1:15"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O196" t="str">
        <f t="shared" ref="O196:O252" si="3">IF(N195&gt;3000,"High",IF(N195&gt;1000,"Medium","Low"))</f>
        <v>Low</v>
      </c>
    </row>
    <row r="197" spans="1:15"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O197" t="str">
        <f t="shared" si="3"/>
        <v>Medium</v>
      </c>
    </row>
    <row r="198" spans="1:15"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O198" t="str">
        <f t="shared" si="3"/>
        <v>Low</v>
      </c>
    </row>
    <row r="199" spans="1:15"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O199" t="str">
        <f t="shared" si="3"/>
        <v>Low</v>
      </c>
    </row>
    <row r="200" spans="1:15"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O200" t="str">
        <f t="shared" si="3"/>
        <v>Low</v>
      </c>
    </row>
    <row r="201" spans="1:15"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O201" t="str">
        <f t="shared" si="3"/>
        <v>Low</v>
      </c>
    </row>
    <row r="202" spans="1:15"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O202" t="str">
        <f t="shared" si="3"/>
        <v>High</v>
      </c>
    </row>
    <row r="203" spans="1:15"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O203" t="str">
        <f t="shared" si="3"/>
        <v>Low</v>
      </c>
    </row>
    <row r="204" spans="1:15"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O204" t="str">
        <f t="shared" si="3"/>
        <v>Medium</v>
      </c>
    </row>
    <row r="205" spans="1:15"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O205" t="str">
        <f t="shared" si="3"/>
        <v>Medium</v>
      </c>
    </row>
    <row r="206" spans="1:15"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O206" t="str">
        <f t="shared" si="3"/>
        <v>Low</v>
      </c>
    </row>
    <row r="207" spans="1:15"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O207" t="str">
        <f t="shared" si="3"/>
        <v>Low</v>
      </c>
    </row>
    <row r="208" spans="1:15"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O208" t="str">
        <f t="shared" si="3"/>
        <v>Low</v>
      </c>
    </row>
    <row r="209" spans="1:15"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O209" t="str">
        <f t="shared" si="3"/>
        <v>Low</v>
      </c>
    </row>
    <row r="210" spans="1:15"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O210" t="str">
        <f t="shared" si="3"/>
        <v>Medium</v>
      </c>
    </row>
    <row r="211" spans="1:15"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O211" t="str">
        <f t="shared" si="3"/>
        <v>Low</v>
      </c>
    </row>
    <row r="212" spans="1:15"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O212" t="str">
        <f t="shared" si="3"/>
        <v>Low</v>
      </c>
    </row>
    <row r="213" spans="1:15"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O213" t="str">
        <f t="shared" si="3"/>
        <v>Low</v>
      </c>
    </row>
    <row r="214" spans="1:15"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O214" t="str">
        <f t="shared" si="3"/>
        <v>Low</v>
      </c>
    </row>
    <row r="215" spans="1:15"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O215" t="str">
        <f t="shared" si="3"/>
        <v>Low</v>
      </c>
    </row>
    <row r="216" spans="1:15"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O216" t="str">
        <f t="shared" si="3"/>
        <v>High</v>
      </c>
    </row>
    <row r="217" spans="1:15"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O217" t="str">
        <f t="shared" si="3"/>
        <v>Low</v>
      </c>
    </row>
    <row r="218" spans="1:15"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O218" t="str">
        <f t="shared" si="3"/>
        <v>Medium</v>
      </c>
    </row>
    <row r="219" spans="1:15"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O219" t="str">
        <f t="shared" si="3"/>
        <v>Low</v>
      </c>
    </row>
    <row r="220" spans="1:15"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O220" t="str">
        <f t="shared" si="3"/>
        <v>Medium</v>
      </c>
    </row>
    <row r="221" spans="1:15"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O221" t="str">
        <f t="shared" si="3"/>
        <v>Low</v>
      </c>
    </row>
    <row r="222" spans="1:15"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O222" t="str">
        <f t="shared" si="3"/>
        <v>Low</v>
      </c>
    </row>
    <row r="223" spans="1:15"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O223" t="str">
        <f t="shared" si="3"/>
        <v>Low</v>
      </c>
    </row>
    <row r="224" spans="1:15"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O224" t="str">
        <f t="shared" si="3"/>
        <v>Low</v>
      </c>
    </row>
    <row r="225" spans="1:15"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O225" t="str">
        <f t="shared" si="3"/>
        <v>Low</v>
      </c>
    </row>
    <row r="226" spans="1:15"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O226" t="str">
        <f t="shared" si="3"/>
        <v>Low</v>
      </c>
    </row>
    <row r="227" spans="1:15"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O227" t="str">
        <f t="shared" si="3"/>
        <v>Low</v>
      </c>
    </row>
    <row r="228" spans="1:15"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O228" t="str">
        <f t="shared" si="3"/>
        <v>Low</v>
      </c>
    </row>
    <row r="229" spans="1:15"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O229" t="str">
        <f t="shared" si="3"/>
        <v>High</v>
      </c>
    </row>
    <row r="230" spans="1:15"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O230" t="str">
        <f t="shared" si="3"/>
        <v>Low</v>
      </c>
    </row>
    <row r="231" spans="1:15"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O231" t="str">
        <f t="shared" si="3"/>
        <v>Low</v>
      </c>
    </row>
    <row r="232" spans="1:15"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O232" t="str">
        <f t="shared" si="3"/>
        <v>Medium</v>
      </c>
    </row>
    <row r="233" spans="1:15"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O233" t="str">
        <f t="shared" si="3"/>
        <v>Low</v>
      </c>
    </row>
    <row r="234" spans="1:15"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O234" t="str">
        <f t="shared" si="3"/>
        <v>High</v>
      </c>
    </row>
    <row r="235" spans="1:15"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O235" t="str">
        <f t="shared" si="3"/>
        <v>Low</v>
      </c>
    </row>
    <row r="236" spans="1:15"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O236" t="str">
        <f t="shared" si="3"/>
        <v>Low</v>
      </c>
    </row>
    <row r="237" spans="1:15"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O237" t="str">
        <f t="shared" si="3"/>
        <v>Low</v>
      </c>
    </row>
    <row r="238" spans="1:15"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O238" t="str">
        <f t="shared" si="3"/>
        <v>Low</v>
      </c>
    </row>
    <row r="239" spans="1:15"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O239" t="str">
        <f t="shared" si="3"/>
        <v>Medium</v>
      </c>
    </row>
    <row r="240" spans="1:15"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O240" t="str">
        <f t="shared" si="3"/>
        <v>Medium</v>
      </c>
    </row>
    <row r="241" spans="1:15"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O241" t="str">
        <f t="shared" si="3"/>
        <v>Low</v>
      </c>
    </row>
    <row r="242" spans="1:15"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O242" t="str">
        <f t="shared" si="3"/>
        <v>Low</v>
      </c>
    </row>
    <row r="243" spans="1:15"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O243" t="str">
        <f t="shared" si="3"/>
        <v>Low</v>
      </c>
    </row>
    <row r="244" spans="1:15"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O244" t="str">
        <f t="shared" si="3"/>
        <v>Low</v>
      </c>
    </row>
    <row r="245" spans="1:15"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O245" t="str">
        <f t="shared" si="3"/>
        <v>Low</v>
      </c>
    </row>
    <row r="246" spans="1:15"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O246" t="str">
        <f t="shared" si="3"/>
        <v>Low</v>
      </c>
    </row>
    <row r="247" spans="1:15"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O247" t="str">
        <f t="shared" si="3"/>
        <v>Medium</v>
      </c>
    </row>
    <row r="248" spans="1:15"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O248" t="str">
        <f t="shared" si="3"/>
        <v>Medium</v>
      </c>
    </row>
    <row r="249" spans="1:15"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O249" t="str">
        <f t="shared" si="3"/>
        <v>Low</v>
      </c>
    </row>
    <row r="250" spans="1:15"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O250" t="str">
        <f t="shared" si="3"/>
        <v>Low</v>
      </c>
    </row>
    <row r="251" spans="1:15"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O251" t="str">
        <f t="shared" si="3"/>
        <v>Medium</v>
      </c>
    </row>
    <row r="252" spans="1:15"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O252" t="str">
        <f t="shared" si="3"/>
        <v>Low</v>
      </c>
    </row>
  </sheetData>
  <mergeCells count="1">
    <mergeCell ref="Q4:AI4"/>
  </mergeCells>
  <conditionalFormatting sqref="O2:O252">
    <cfRule type="containsText" dxfId="1" priority="5" operator="containsText" text="High">
      <formula>NOT(ISERROR(SEARCH("High",O2)))</formula>
    </cfRule>
    <cfRule type="containsText" dxfId="2" priority="2" operator="containsText" text="Medium">
      <formula>NOT(ISERROR(SEARCH("Medium",O2)))</formula>
    </cfRule>
    <cfRule type="containsText" dxfId="0" priority="1" operator="containsText" text="Low">
      <formula>NOT(ISERROR(SEARCH("Low",O2)))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EE22-E5B7-4055-9166-911516BA9F0C}">
  <dimension ref="A1:Q252"/>
  <sheetViews>
    <sheetView workbookViewId="0">
      <selection activeCell="T7" sqref="T7"/>
    </sheetView>
  </sheetViews>
  <sheetFormatPr defaultRowHeight="14.4"/>
  <cols>
    <col min="2" max="2" width="10.33203125" bestFit="1" customWidth="1"/>
    <col min="13" max="13" width="10.33203125" bestFit="1" customWidth="1"/>
    <col min="17" max="17" width="12.21875" bestFit="1" customWidth="1"/>
  </cols>
  <sheetData>
    <row r="1" spans="1:17" ht="15" thickBot="1">
      <c r="A1" t="s">
        <v>451</v>
      </c>
    </row>
    <row r="2" spans="1:17"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40" t="s">
        <v>452</v>
      </c>
      <c r="P2" s="40" t="s">
        <v>453</v>
      </c>
      <c r="Q2" s="40" t="s">
        <v>454</v>
      </c>
    </row>
    <row r="3" spans="1:17"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O3" s="41">
        <f>COUNTIF($F$2:$F$252, F2)</f>
        <v>1</v>
      </c>
      <c r="P3" s="41">
        <f>MAX(O2:O252)</f>
        <v>35</v>
      </c>
      <c r="Q3" s="41" t="str">
        <f>INDEX(F2:F252, MATCH(MAX(O2:O252), O2:O252, 0))</f>
        <v>Blender</v>
      </c>
    </row>
    <row r="4" spans="1:17"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s="41">
        <f t="shared" ref="O4:O67" si="0">COUNTIF($F$2:$F$500, F3)</f>
        <v>26</v>
      </c>
      <c r="P4" s="41"/>
      <c r="Q4" s="41" t="str">
        <f t="shared" ref="Q4:Q67" si="1">INDEX(F3:F253, MATCH(MAX(O3:O253), O3:O253, 0))</f>
        <v>Blender</v>
      </c>
    </row>
    <row r="5" spans="1:17"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O5" s="41">
        <f t="shared" si="0"/>
        <v>26</v>
      </c>
      <c r="P5" s="41"/>
      <c r="Q5" s="41" t="str">
        <f t="shared" si="1"/>
        <v>Blender</v>
      </c>
    </row>
    <row r="6" spans="1:17"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O6" s="41">
        <f t="shared" si="0"/>
        <v>29</v>
      </c>
      <c r="P6" s="41"/>
      <c r="Q6" s="41" t="str">
        <f t="shared" si="1"/>
        <v>Blender</v>
      </c>
    </row>
    <row r="7" spans="1:17"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O7" s="41">
        <f t="shared" si="0"/>
        <v>29</v>
      </c>
      <c r="P7" s="41"/>
      <c r="Q7" s="41" t="str">
        <f t="shared" si="1"/>
        <v>Blender</v>
      </c>
    </row>
    <row r="8" spans="1:17"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O8" s="41">
        <f t="shared" si="0"/>
        <v>35</v>
      </c>
      <c r="P8" s="41"/>
      <c r="Q8" s="41" t="str">
        <f t="shared" si="1"/>
        <v>Blender</v>
      </c>
    </row>
    <row r="9" spans="1:17"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O9" s="41">
        <f t="shared" si="0"/>
        <v>29</v>
      </c>
      <c r="P9" s="41"/>
      <c r="Q9" s="41" t="str">
        <f t="shared" si="1"/>
        <v>Blender</v>
      </c>
    </row>
    <row r="10" spans="1:17"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O10" s="41">
        <f t="shared" si="0"/>
        <v>16</v>
      </c>
      <c r="P10" s="41"/>
      <c r="Q10" s="41" t="str">
        <f t="shared" si="1"/>
        <v>Bookshelf</v>
      </c>
    </row>
    <row r="11" spans="1:17"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O11" s="41">
        <f t="shared" si="0"/>
        <v>29</v>
      </c>
      <c r="P11" s="41"/>
      <c r="Q11" s="41" t="str">
        <f t="shared" si="1"/>
        <v>Bookshelf</v>
      </c>
    </row>
    <row r="12" spans="1:17"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O12" s="41">
        <f t="shared" si="0"/>
        <v>24</v>
      </c>
      <c r="P12" s="41"/>
      <c r="Q12" s="41" t="str">
        <f t="shared" si="1"/>
        <v>Bookshelf</v>
      </c>
    </row>
    <row r="13" spans="1:17"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O13" s="41">
        <f t="shared" si="0"/>
        <v>29</v>
      </c>
      <c r="P13" s="41"/>
      <c r="Q13" s="41" t="str">
        <f t="shared" si="1"/>
        <v>Bookshelf</v>
      </c>
    </row>
    <row r="14" spans="1:17"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O14" s="41">
        <f t="shared" si="0"/>
        <v>35</v>
      </c>
      <c r="P14" s="41"/>
      <c r="Q14" s="41" t="str">
        <f t="shared" si="1"/>
        <v>Bookshelf</v>
      </c>
    </row>
    <row r="15" spans="1:17"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O15" s="41">
        <f t="shared" si="0"/>
        <v>35</v>
      </c>
      <c r="P15" s="41"/>
      <c r="Q15" s="41" t="str">
        <f t="shared" si="1"/>
        <v>Bookshelf</v>
      </c>
    </row>
    <row r="16" spans="1:17"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O16" s="41">
        <f t="shared" si="0"/>
        <v>35</v>
      </c>
      <c r="P16" s="41"/>
      <c r="Q16" s="41" t="str">
        <f t="shared" si="1"/>
        <v>Bookshelf</v>
      </c>
    </row>
    <row r="17" spans="1:17"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O17" s="41">
        <f t="shared" si="0"/>
        <v>29</v>
      </c>
      <c r="P17" s="41"/>
      <c r="Q17" s="41" t="str">
        <f t="shared" si="1"/>
        <v>Blender</v>
      </c>
    </row>
    <row r="18" spans="1:17"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O18" s="41">
        <f t="shared" si="0"/>
        <v>31</v>
      </c>
      <c r="P18" s="41"/>
      <c r="Q18" s="41" t="str">
        <f t="shared" si="1"/>
        <v>Smartphone</v>
      </c>
    </row>
    <row r="19" spans="1:17"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O19" s="41">
        <f t="shared" si="0"/>
        <v>24</v>
      </c>
      <c r="P19" s="41"/>
      <c r="Q19" s="41" t="str">
        <f t="shared" si="1"/>
        <v>Smartphone</v>
      </c>
    </row>
    <row r="20" spans="1:17"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O20" s="41">
        <f t="shared" si="0"/>
        <v>35</v>
      </c>
      <c r="P20" s="41"/>
      <c r="Q20" s="41" t="str">
        <f t="shared" si="1"/>
        <v>Smartphone</v>
      </c>
    </row>
    <row r="21" spans="1:17"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O21" s="41">
        <f t="shared" si="0"/>
        <v>31</v>
      </c>
      <c r="P21" s="41"/>
      <c r="Q21" s="41" t="str">
        <f t="shared" si="1"/>
        <v>Smartphone</v>
      </c>
    </row>
    <row r="22" spans="1:17"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O22" s="41">
        <f t="shared" si="0"/>
        <v>24</v>
      </c>
      <c r="P22" s="41"/>
      <c r="Q22" s="41" t="str">
        <f t="shared" si="1"/>
        <v>Bookshelf</v>
      </c>
    </row>
    <row r="23" spans="1:17"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O23" s="41">
        <f t="shared" si="0"/>
        <v>26</v>
      </c>
      <c r="P23" s="41"/>
      <c r="Q23" s="41" t="str">
        <f t="shared" si="1"/>
        <v>Bookshelf</v>
      </c>
    </row>
    <row r="24" spans="1:17"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O24" s="41">
        <f t="shared" si="0"/>
        <v>31</v>
      </c>
      <c r="P24" s="41"/>
      <c r="Q24" s="41" t="str">
        <f t="shared" si="1"/>
        <v>Bookshelf</v>
      </c>
    </row>
    <row r="25" spans="1:17"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O25" s="41">
        <f t="shared" si="0"/>
        <v>31</v>
      </c>
      <c r="P25" s="41"/>
      <c r="Q25" s="41" t="str">
        <f t="shared" si="1"/>
        <v>Bookshelf</v>
      </c>
    </row>
    <row r="26" spans="1:17"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O26" s="41">
        <f t="shared" si="0"/>
        <v>26</v>
      </c>
      <c r="P26" s="41"/>
      <c r="Q26" s="41" t="str">
        <f t="shared" si="1"/>
        <v>Bookshelf</v>
      </c>
    </row>
    <row r="27" spans="1:17"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O27" s="41">
        <f t="shared" si="0"/>
        <v>26</v>
      </c>
      <c r="P27" s="41"/>
      <c r="Q27" s="41" t="str">
        <f t="shared" si="1"/>
        <v>Bookshelf</v>
      </c>
    </row>
    <row r="28" spans="1:17"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O28" s="41">
        <f t="shared" si="0"/>
        <v>26</v>
      </c>
      <c r="P28" s="41"/>
      <c r="Q28" s="41" t="str">
        <f t="shared" si="1"/>
        <v>Bookshelf</v>
      </c>
    </row>
    <row r="29" spans="1:17"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O29" s="41">
        <f t="shared" si="0"/>
        <v>26</v>
      </c>
      <c r="P29" s="41"/>
      <c r="Q29" s="41" t="str">
        <f t="shared" si="1"/>
        <v>Bookshelf</v>
      </c>
    </row>
    <row r="30" spans="1:17"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O30" s="41">
        <f t="shared" si="0"/>
        <v>14</v>
      </c>
      <c r="P30" s="41"/>
      <c r="Q30" s="41" t="str">
        <f t="shared" si="1"/>
        <v>Bookshelf</v>
      </c>
    </row>
    <row r="31" spans="1:17"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O31" s="41">
        <f t="shared" si="0"/>
        <v>34</v>
      </c>
      <c r="P31" s="41"/>
      <c r="Q31" s="41" t="str">
        <f t="shared" si="1"/>
        <v>Bookshelf</v>
      </c>
    </row>
    <row r="32" spans="1:17"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O32" s="41">
        <f t="shared" si="0"/>
        <v>29</v>
      </c>
      <c r="P32" s="41"/>
      <c r="Q32" s="41" t="str">
        <f t="shared" si="1"/>
        <v>Bookshelf</v>
      </c>
    </row>
    <row r="33" spans="1:17"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O33" s="41">
        <f t="shared" si="0"/>
        <v>29</v>
      </c>
      <c r="P33" s="41"/>
      <c r="Q33" s="41" t="str">
        <f t="shared" si="1"/>
        <v>Bookshelf</v>
      </c>
    </row>
    <row r="34" spans="1:17"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O34" s="41">
        <f t="shared" si="0"/>
        <v>15</v>
      </c>
      <c r="P34" s="41"/>
      <c r="Q34" s="41" t="str">
        <f t="shared" si="1"/>
        <v>Bookshelf</v>
      </c>
    </row>
    <row r="35" spans="1:17"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O35" s="41">
        <f t="shared" si="0"/>
        <v>35</v>
      </c>
      <c r="P35" s="41"/>
      <c r="Q35" s="41" t="str">
        <f t="shared" si="1"/>
        <v>Bookshelf</v>
      </c>
    </row>
    <row r="36" spans="1:17"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O36" s="41">
        <f t="shared" si="0"/>
        <v>35</v>
      </c>
      <c r="P36" s="41"/>
      <c r="Q36" s="41" t="str">
        <f t="shared" si="1"/>
        <v>Bookshelf</v>
      </c>
    </row>
    <row r="37" spans="1:17"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O37" s="41">
        <f t="shared" si="0"/>
        <v>24</v>
      </c>
      <c r="P37" s="41"/>
      <c r="Q37" s="41" t="str">
        <f t="shared" si="1"/>
        <v>Laptop</v>
      </c>
    </row>
    <row r="38" spans="1:17"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O38" s="41">
        <f t="shared" si="0"/>
        <v>26</v>
      </c>
      <c r="P38" s="41"/>
      <c r="Q38" s="41" t="str">
        <f t="shared" si="1"/>
        <v>Blender</v>
      </c>
    </row>
    <row r="39" spans="1:17"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O39" s="41">
        <f t="shared" si="0"/>
        <v>14</v>
      </c>
      <c r="P39" s="41"/>
      <c r="Q39" s="41" t="str">
        <f t="shared" si="1"/>
        <v>Blender</v>
      </c>
    </row>
    <row r="40" spans="1:17"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O40" s="41">
        <f t="shared" si="0"/>
        <v>15</v>
      </c>
      <c r="P40" s="41"/>
      <c r="Q40" s="41" t="str">
        <f t="shared" si="1"/>
        <v>Blender</v>
      </c>
    </row>
    <row r="41" spans="1:17"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O41" s="41">
        <f t="shared" si="0"/>
        <v>31</v>
      </c>
      <c r="P41" s="41"/>
      <c r="Q41" s="41" t="str">
        <f t="shared" si="1"/>
        <v>Blender</v>
      </c>
    </row>
    <row r="42" spans="1:17"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O42" s="41">
        <f t="shared" si="0"/>
        <v>34</v>
      </c>
      <c r="P42" s="41"/>
      <c r="Q42" s="41" t="str">
        <f t="shared" si="1"/>
        <v>Blender</v>
      </c>
    </row>
    <row r="43" spans="1:17"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O43" s="41">
        <f t="shared" si="0"/>
        <v>14</v>
      </c>
      <c r="P43" s="41"/>
      <c r="Q43" s="41" t="str">
        <f t="shared" si="1"/>
        <v>Blender</v>
      </c>
    </row>
    <row r="44" spans="1:17"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O44" s="41">
        <f t="shared" si="0"/>
        <v>29</v>
      </c>
      <c r="P44" s="41"/>
      <c r="Q44" s="41" t="str">
        <f t="shared" si="1"/>
        <v>Blender</v>
      </c>
    </row>
    <row r="45" spans="1:17"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O45" s="41">
        <f t="shared" si="0"/>
        <v>34</v>
      </c>
      <c r="P45" s="41"/>
      <c r="Q45" s="41" t="str">
        <f t="shared" si="1"/>
        <v>Blender</v>
      </c>
    </row>
    <row r="46" spans="1:17"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O46" s="41">
        <f t="shared" si="0"/>
        <v>34</v>
      </c>
      <c r="P46" s="41"/>
      <c r="Q46" s="41" t="str">
        <f t="shared" si="1"/>
        <v>Blender</v>
      </c>
    </row>
    <row r="47" spans="1:17"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O47" s="41">
        <f t="shared" si="0"/>
        <v>26</v>
      </c>
      <c r="P47" s="41"/>
      <c r="Q47" s="41" t="str">
        <f t="shared" si="1"/>
        <v>Blender</v>
      </c>
    </row>
    <row r="48" spans="1:17"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O48" s="41">
        <f t="shared" si="0"/>
        <v>34</v>
      </c>
      <c r="P48" s="41"/>
      <c r="Q48" s="41" t="str">
        <f t="shared" si="1"/>
        <v>Blender</v>
      </c>
    </row>
    <row r="49" spans="1:17"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O49" s="41">
        <f t="shared" si="0"/>
        <v>35</v>
      </c>
      <c r="P49" s="41"/>
      <c r="Q49" s="41" t="str">
        <f t="shared" si="1"/>
        <v>Blender</v>
      </c>
    </row>
    <row r="50" spans="1:17"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O50" s="41">
        <f t="shared" si="0"/>
        <v>29</v>
      </c>
      <c r="P50" s="41"/>
      <c r="Q50" s="41" t="str">
        <f t="shared" si="1"/>
        <v>Blender</v>
      </c>
    </row>
    <row r="51" spans="1:17"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O51" s="41">
        <f t="shared" si="0"/>
        <v>34</v>
      </c>
      <c r="P51" s="41"/>
      <c r="Q51" s="41" t="str">
        <f t="shared" si="1"/>
        <v>Keyboard</v>
      </c>
    </row>
    <row r="52" spans="1:17"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O52" s="41">
        <f t="shared" si="0"/>
        <v>34</v>
      </c>
      <c r="P52" s="41"/>
      <c r="Q52" s="41" t="str">
        <f t="shared" si="1"/>
        <v>Keyboard</v>
      </c>
    </row>
    <row r="53" spans="1:17"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O53" s="41">
        <f t="shared" si="0"/>
        <v>24</v>
      </c>
      <c r="P53" s="41"/>
      <c r="Q53" s="41" t="str">
        <f t="shared" si="1"/>
        <v>Keyboard</v>
      </c>
    </row>
    <row r="54" spans="1:17"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O54" s="41">
        <f t="shared" si="0"/>
        <v>24</v>
      </c>
      <c r="P54" s="41"/>
      <c r="Q54" s="41" t="str">
        <f t="shared" si="1"/>
        <v>Keyboard</v>
      </c>
    </row>
    <row r="55" spans="1:17"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O55" s="41">
        <f t="shared" si="0"/>
        <v>29</v>
      </c>
      <c r="P55" s="41"/>
      <c r="Q55" s="41" t="str">
        <f t="shared" si="1"/>
        <v>Keyboard</v>
      </c>
    </row>
    <row r="56" spans="1:17"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O56" s="41">
        <f t="shared" si="0"/>
        <v>26</v>
      </c>
      <c r="P56" s="41"/>
      <c r="Q56" s="41" t="str">
        <f t="shared" si="1"/>
        <v>Keyboard</v>
      </c>
    </row>
    <row r="57" spans="1:17"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O57" s="41">
        <f t="shared" si="0"/>
        <v>34</v>
      </c>
      <c r="P57" s="41"/>
      <c r="Q57" s="41" t="str">
        <f t="shared" si="1"/>
        <v>Keyboard</v>
      </c>
    </row>
    <row r="58" spans="1:17"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O58" s="41">
        <f t="shared" si="0"/>
        <v>14</v>
      </c>
      <c r="P58" s="41"/>
      <c r="Q58" s="41" t="str">
        <f t="shared" si="1"/>
        <v>Keyboard</v>
      </c>
    </row>
    <row r="59" spans="1:17"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O59" s="41">
        <f t="shared" si="0"/>
        <v>34</v>
      </c>
      <c r="P59" s="41"/>
      <c r="Q59" s="41" t="str">
        <f t="shared" si="1"/>
        <v>Keyboard</v>
      </c>
    </row>
    <row r="60" spans="1:17"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O60" s="41">
        <f t="shared" si="0"/>
        <v>31</v>
      </c>
      <c r="P60" s="41"/>
      <c r="Q60" s="41" t="str">
        <f t="shared" si="1"/>
        <v>Keyboard</v>
      </c>
    </row>
    <row r="61" spans="1:17"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O61" s="41">
        <f t="shared" si="0"/>
        <v>24</v>
      </c>
      <c r="P61" s="41"/>
      <c r="Q61" s="41" t="str">
        <f t="shared" si="1"/>
        <v>Keyboard</v>
      </c>
    </row>
    <row r="62" spans="1:17"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O62" s="41">
        <f t="shared" si="0"/>
        <v>35</v>
      </c>
      <c r="P62" s="41"/>
      <c r="Q62" s="41" t="str">
        <f t="shared" si="1"/>
        <v>Keyboard</v>
      </c>
    </row>
    <row r="63" spans="1:17"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O63" s="41">
        <f t="shared" si="0"/>
        <v>34</v>
      </c>
      <c r="P63" s="41"/>
      <c r="Q63" s="41" t="str">
        <f t="shared" si="1"/>
        <v>Keyboard</v>
      </c>
    </row>
    <row r="64" spans="1:17"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O64" s="41">
        <f t="shared" si="0"/>
        <v>34</v>
      </c>
      <c r="P64" s="41"/>
      <c r="Q64" s="41" t="str">
        <f t="shared" si="1"/>
        <v>Smartphone</v>
      </c>
    </row>
    <row r="65" spans="1:17"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O65" s="41">
        <f t="shared" si="0"/>
        <v>34</v>
      </c>
      <c r="P65" s="41"/>
      <c r="Q65" s="41" t="str">
        <f t="shared" si="1"/>
        <v>Smartphone</v>
      </c>
    </row>
    <row r="66" spans="1:17"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O66" s="41">
        <f t="shared" si="0"/>
        <v>14</v>
      </c>
      <c r="P66" s="41"/>
      <c r="Q66" s="41" t="str">
        <f t="shared" si="1"/>
        <v>Smartphone</v>
      </c>
    </row>
    <row r="67" spans="1:17"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O67" s="41">
        <f t="shared" si="0"/>
        <v>35</v>
      </c>
      <c r="P67" s="41"/>
      <c r="Q67" s="41" t="str">
        <f t="shared" si="1"/>
        <v>Smartphone</v>
      </c>
    </row>
    <row r="68" spans="1:17"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O68" s="41">
        <f t="shared" ref="O68:O131" si="2">COUNTIF($F$2:$F$500, F67)</f>
        <v>31</v>
      </c>
      <c r="P68" s="41"/>
      <c r="Q68" s="41" t="str">
        <f t="shared" ref="Q68:Q131" si="3">INDEX(F67:F317, MATCH(MAX(O67:O317), O67:O317, 0))</f>
        <v>Smartphone</v>
      </c>
    </row>
    <row r="69" spans="1:17"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O69" s="41">
        <f t="shared" si="2"/>
        <v>34</v>
      </c>
      <c r="P69" s="41"/>
      <c r="Q69" s="41" t="str">
        <f t="shared" si="3"/>
        <v>Office Chair</v>
      </c>
    </row>
    <row r="70" spans="1:17"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O70" s="41">
        <f t="shared" si="2"/>
        <v>29</v>
      </c>
      <c r="P70" s="41"/>
      <c r="Q70" s="41" t="str">
        <f t="shared" si="3"/>
        <v>Office Chair</v>
      </c>
    </row>
    <row r="71" spans="1:17"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O71" s="41">
        <f t="shared" si="2"/>
        <v>16</v>
      </c>
      <c r="P71" s="41"/>
      <c r="Q71" s="41" t="str">
        <f t="shared" si="3"/>
        <v>Office Chair</v>
      </c>
    </row>
    <row r="72" spans="1:17"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O72" s="41">
        <f t="shared" si="2"/>
        <v>26</v>
      </c>
      <c r="P72" s="41"/>
      <c r="Q72" s="41" t="str">
        <f t="shared" si="3"/>
        <v>Office Chair</v>
      </c>
    </row>
    <row r="73" spans="1:17"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O73" s="41">
        <f t="shared" si="2"/>
        <v>15</v>
      </c>
      <c r="P73" s="41"/>
      <c r="Q73" s="41" t="str">
        <f t="shared" si="3"/>
        <v>Office Chair</v>
      </c>
    </row>
    <row r="74" spans="1:17"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O74" s="41">
        <f t="shared" si="2"/>
        <v>29</v>
      </c>
      <c r="P74" s="41"/>
      <c r="Q74" s="41" t="str">
        <f t="shared" si="3"/>
        <v>Office Chair</v>
      </c>
    </row>
    <row r="75" spans="1:17"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O75" s="41">
        <f t="shared" si="2"/>
        <v>35</v>
      </c>
      <c r="P75" s="41"/>
      <c r="Q75" s="41" t="str">
        <f t="shared" si="3"/>
        <v>Office Chair</v>
      </c>
    </row>
    <row r="76" spans="1:17"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O76" s="41">
        <f t="shared" si="2"/>
        <v>15</v>
      </c>
      <c r="P76" s="41"/>
      <c r="Q76" s="41" t="str">
        <f t="shared" si="3"/>
        <v>Office Chair</v>
      </c>
    </row>
    <row r="77" spans="1:17"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O77" s="41">
        <f t="shared" si="2"/>
        <v>24</v>
      </c>
      <c r="P77" s="41"/>
      <c r="Q77" s="41" t="str">
        <f t="shared" si="3"/>
        <v>Bookshelf</v>
      </c>
    </row>
    <row r="78" spans="1:17"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O78" s="41">
        <f t="shared" si="2"/>
        <v>24</v>
      </c>
      <c r="P78" s="41"/>
      <c r="Q78" s="41" t="str">
        <f t="shared" si="3"/>
        <v>Bookshelf</v>
      </c>
    </row>
    <row r="79" spans="1:17"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O79" s="41">
        <f t="shared" si="2"/>
        <v>29</v>
      </c>
      <c r="P79" s="41"/>
      <c r="Q79" s="41" t="str">
        <f t="shared" si="3"/>
        <v>Bookshelf</v>
      </c>
    </row>
    <row r="80" spans="1:17"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O80" s="41">
        <f t="shared" si="2"/>
        <v>26</v>
      </c>
      <c r="P80" s="41"/>
      <c r="Q80" s="41" t="str">
        <f t="shared" si="3"/>
        <v>Bookshelf</v>
      </c>
    </row>
    <row r="81" spans="1:17"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O81" s="41">
        <f t="shared" si="2"/>
        <v>26</v>
      </c>
      <c r="P81" s="41"/>
      <c r="Q81" s="41" t="str">
        <f t="shared" si="3"/>
        <v>Bookshelf</v>
      </c>
    </row>
    <row r="82" spans="1:17"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O82" s="41">
        <f t="shared" si="2"/>
        <v>26</v>
      </c>
      <c r="P82" s="41"/>
      <c r="Q82" s="41" t="str">
        <f t="shared" si="3"/>
        <v>Bookshelf</v>
      </c>
    </row>
    <row r="83" spans="1:17"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O83" s="41">
        <f t="shared" si="2"/>
        <v>34</v>
      </c>
      <c r="P83" s="41"/>
      <c r="Q83" s="41" t="str">
        <f t="shared" si="3"/>
        <v>Bookshelf</v>
      </c>
    </row>
    <row r="84" spans="1:17"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O84" s="41">
        <f t="shared" si="2"/>
        <v>26</v>
      </c>
      <c r="P84" s="41"/>
      <c r="Q84" s="41" t="str">
        <f t="shared" si="3"/>
        <v>Bookshelf</v>
      </c>
    </row>
    <row r="85" spans="1:17"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O85" s="41">
        <f t="shared" si="2"/>
        <v>31</v>
      </c>
      <c r="P85" s="41"/>
      <c r="Q85" s="41" t="str">
        <f t="shared" si="3"/>
        <v>Bookshelf</v>
      </c>
    </row>
    <row r="86" spans="1:17"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O86" s="41">
        <f t="shared" si="2"/>
        <v>24</v>
      </c>
      <c r="P86" s="41"/>
      <c r="Q86" s="41" t="str">
        <f t="shared" si="3"/>
        <v>Bookshelf</v>
      </c>
    </row>
    <row r="87" spans="1:17"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O87" s="41">
        <f t="shared" si="2"/>
        <v>35</v>
      </c>
      <c r="P87" s="41"/>
      <c r="Q87" s="41" t="str">
        <f t="shared" si="3"/>
        <v>Bookshelf</v>
      </c>
    </row>
    <row r="88" spans="1:17"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O88" s="41">
        <f t="shared" si="2"/>
        <v>35</v>
      </c>
      <c r="P88" s="41"/>
      <c r="Q88" s="41" t="str">
        <f t="shared" si="3"/>
        <v>Bookshelf</v>
      </c>
    </row>
    <row r="89" spans="1:17"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O89" s="41">
        <f t="shared" si="2"/>
        <v>34</v>
      </c>
      <c r="P89" s="41"/>
      <c r="Q89" s="41" t="str">
        <f t="shared" si="3"/>
        <v>Keyboard</v>
      </c>
    </row>
    <row r="90" spans="1:17"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O90" s="41">
        <f t="shared" si="2"/>
        <v>26</v>
      </c>
      <c r="P90" s="41"/>
      <c r="Q90" s="41" t="str">
        <f t="shared" si="3"/>
        <v>Coffee Maker</v>
      </c>
    </row>
    <row r="91" spans="1:17"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O91" s="41">
        <f t="shared" si="2"/>
        <v>16</v>
      </c>
      <c r="P91" s="41"/>
      <c r="Q91" s="41" t="str">
        <f t="shared" si="3"/>
        <v>Coffee Maker</v>
      </c>
    </row>
    <row r="92" spans="1:17"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O92" s="41">
        <f t="shared" si="2"/>
        <v>26</v>
      </c>
      <c r="P92" s="41"/>
      <c r="Q92" s="41" t="str">
        <f t="shared" si="3"/>
        <v>Coffee Maker</v>
      </c>
    </row>
    <row r="93" spans="1:17"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O93" s="41">
        <f t="shared" si="2"/>
        <v>26</v>
      </c>
      <c r="P93" s="41"/>
      <c r="Q93" s="41" t="str">
        <f t="shared" si="3"/>
        <v>Coffee Maker</v>
      </c>
    </row>
    <row r="94" spans="1:17"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O94" s="41">
        <f t="shared" si="2"/>
        <v>15</v>
      </c>
      <c r="P94" s="41"/>
      <c r="Q94" s="41" t="str">
        <f t="shared" si="3"/>
        <v>Coffee Maker</v>
      </c>
    </row>
    <row r="95" spans="1:17"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O95" s="41">
        <f t="shared" si="2"/>
        <v>15</v>
      </c>
      <c r="P95" s="41"/>
      <c r="Q95" s="41" t="str">
        <f t="shared" si="3"/>
        <v>Coffee Maker</v>
      </c>
    </row>
    <row r="96" spans="1:17"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O96" s="41">
        <f t="shared" si="2"/>
        <v>34</v>
      </c>
      <c r="P96" s="41"/>
      <c r="Q96" s="41" t="str">
        <f t="shared" si="3"/>
        <v>Coffee Maker</v>
      </c>
    </row>
    <row r="97" spans="1:17"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O97" s="41">
        <f t="shared" si="2"/>
        <v>24</v>
      </c>
      <c r="P97" s="41"/>
      <c r="Q97" s="41" t="str">
        <f t="shared" si="3"/>
        <v>Coffee Maker</v>
      </c>
    </row>
    <row r="98" spans="1:17"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O98" s="41">
        <f t="shared" si="2"/>
        <v>16</v>
      </c>
      <c r="P98" s="41"/>
      <c r="Q98" s="41" t="str">
        <f t="shared" si="3"/>
        <v>Coffee Maker</v>
      </c>
    </row>
    <row r="99" spans="1:17"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O99" s="41">
        <f t="shared" si="2"/>
        <v>35</v>
      </c>
      <c r="P99" s="41"/>
      <c r="Q99" s="41" t="str">
        <f t="shared" si="3"/>
        <v>Coffee Maker</v>
      </c>
    </row>
    <row r="100" spans="1:17"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O100" s="41">
        <f t="shared" si="2"/>
        <v>14</v>
      </c>
      <c r="P100" s="41"/>
      <c r="Q100" s="41" t="str">
        <f t="shared" si="3"/>
        <v>Coffee Maker</v>
      </c>
    </row>
    <row r="101" spans="1:17"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O101" s="41">
        <f t="shared" si="2"/>
        <v>26</v>
      </c>
      <c r="P101" s="41"/>
      <c r="Q101" s="41" t="str">
        <f t="shared" si="3"/>
        <v>Desk</v>
      </c>
    </row>
    <row r="102" spans="1:17"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O102" s="41">
        <f t="shared" si="2"/>
        <v>31</v>
      </c>
      <c r="P102" s="41"/>
      <c r="Q102" s="41" t="str">
        <f t="shared" si="3"/>
        <v>Desk</v>
      </c>
    </row>
    <row r="103" spans="1:17"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O103" s="41">
        <f t="shared" si="2"/>
        <v>16</v>
      </c>
      <c r="P103" s="41"/>
      <c r="Q103" s="41" t="str">
        <f t="shared" si="3"/>
        <v>Desk</v>
      </c>
    </row>
    <row r="104" spans="1:17"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O104" s="41">
        <f t="shared" si="2"/>
        <v>31</v>
      </c>
      <c r="P104" s="41"/>
      <c r="Q104" s="41" t="str">
        <f t="shared" si="3"/>
        <v>Desk</v>
      </c>
    </row>
    <row r="105" spans="1:17"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O105" s="41">
        <f t="shared" si="2"/>
        <v>26</v>
      </c>
      <c r="P105" s="41"/>
      <c r="Q105" s="41" t="str">
        <f t="shared" si="3"/>
        <v>Desk</v>
      </c>
    </row>
    <row r="106" spans="1:17"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O106" s="41">
        <f t="shared" si="2"/>
        <v>26</v>
      </c>
      <c r="P106" s="41"/>
      <c r="Q106" s="41" t="str">
        <f t="shared" si="3"/>
        <v>Desk</v>
      </c>
    </row>
    <row r="107" spans="1:17"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O107" s="41">
        <f t="shared" si="2"/>
        <v>31</v>
      </c>
      <c r="P107" s="41"/>
      <c r="Q107" s="41" t="str">
        <f t="shared" si="3"/>
        <v>Desk</v>
      </c>
    </row>
    <row r="108" spans="1:17"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O108" s="41">
        <f t="shared" si="2"/>
        <v>29</v>
      </c>
      <c r="P108" s="41"/>
      <c r="Q108" s="41" t="str">
        <f t="shared" si="3"/>
        <v>Desk</v>
      </c>
    </row>
    <row r="109" spans="1:17"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O109" s="41">
        <f t="shared" si="2"/>
        <v>29</v>
      </c>
      <c r="P109" s="41"/>
      <c r="Q109" s="41" t="str">
        <f t="shared" si="3"/>
        <v>Desk</v>
      </c>
    </row>
    <row r="110" spans="1:17"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O110" s="41">
        <f t="shared" si="2"/>
        <v>14</v>
      </c>
      <c r="P110" s="41"/>
      <c r="Q110" s="41" t="str">
        <f t="shared" si="3"/>
        <v>Desk</v>
      </c>
    </row>
    <row r="111" spans="1:17"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O111" s="41">
        <f t="shared" si="2"/>
        <v>14</v>
      </c>
      <c r="P111" s="41"/>
      <c r="Q111" s="41" t="str">
        <f t="shared" si="3"/>
        <v>Desk</v>
      </c>
    </row>
    <row r="112" spans="1:17"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O112" s="41">
        <f t="shared" si="2"/>
        <v>26</v>
      </c>
      <c r="P112" s="41"/>
      <c r="Q112" s="41" t="str">
        <f t="shared" si="3"/>
        <v>Desk</v>
      </c>
    </row>
    <row r="113" spans="1:17"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O113" s="41">
        <f t="shared" si="2"/>
        <v>34</v>
      </c>
      <c r="P113" s="41"/>
      <c r="Q113" s="41" t="str">
        <f t="shared" si="3"/>
        <v>Desk</v>
      </c>
    </row>
    <row r="114" spans="1:17"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O114" s="41">
        <f t="shared" si="2"/>
        <v>16</v>
      </c>
      <c r="P114" s="41"/>
      <c r="Q114" s="41" t="str">
        <f t="shared" si="3"/>
        <v>Desk</v>
      </c>
    </row>
    <row r="115" spans="1:17"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O115" s="41">
        <f t="shared" si="2"/>
        <v>26</v>
      </c>
      <c r="P115" s="41"/>
      <c r="Q115" s="41" t="str">
        <f t="shared" si="3"/>
        <v>Desk</v>
      </c>
    </row>
    <row r="116" spans="1:17"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O116" s="41">
        <f t="shared" si="2"/>
        <v>15</v>
      </c>
      <c r="P116" s="41"/>
      <c r="Q116" s="41" t="str">
        <f t="shared" si="3"/>
        <v>Desk</v>
      </c>
    </row>
    <row r="117" spans="1:17"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O117" s="41">
        <f t="shared" si="2"/>
        <v>34</v>
      </c>
      <c r="P117" s="41"/>
      <c r="Q117" s="41" t="str">
        <f t="shared" si="3"/>
        <v>Desk</v>
      </c>
    </row>
    <row r="118" spans="1:17"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O118" s="41">
        <f t="shared" si="2"/>
        <v>16</v>
      </c>
      <c r="P118" s="41"/>
      <c r="Q118" s="41" t="str">
        <f t="shared" si="3"/>
        <v>Desk</v>
      </c>
    </row>
    <row r="119" spans="1:17"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O119" s="41">
        <f t="shared" si="2"/>
        <v>31</v>
      </c>
      <c r="P119" s="41"/>
      <c r="Q119" s="41" t="str">
        <f t="shared" si="3"/>
        <v>Desk</v>
      </c>
    </row>
    <row r="120" spans="1:17"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O120" s="41">
        <f t="shared" si="2"/>
        <v>24</v>
      </c>
      <c r="P120" s="41"/>
      <c r="Q120" s="41" t="str">
        <f t="shared" si="3"/>
        <v>Desk</v>
      </c>
    </row>
    <row r="121" spans="1:17"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O121" s="41">
        <f t="shared" si="2"/>
        <v>35</v>
      </c>
      <c r="P121" s="41"/>
      <c r="Q121" s="41" t="str">
        <f t="shared" si="3"/>
        <v>Desk</v>
      </c>
    </row>
    <row r="122" spans="1:17"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O122" s="41">
        <f t="shared" si="2"/>
        <v>26</v>
      </c>
      <c r="P122" s="41"/>
      <c r="Q122" s="41" t="str">
        <f t="shared" si="3"/>
        <v>Desk</v>
      </c>
    </row>
    <row r="123" spans="1:17"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O123" s="41">
        <f t="shared" si="2"/>
        <v>15</v>
      </c>
      <c r="P123" s="41"/>
      <c r="Q123" s="41" t="str">
        <f t="shared" si="3"/>
        <v>Desk</v>
      </c>
    </row>
    <row r="124" spans="1:17"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O124" s="41">
        <f t="shared" si="2"/>
        <v>26</v>
      </c>
      <c r="P124" s="41"/>
      <c r="Q124" s="41" t="str">
        <f t="shared" si="3"/>
        <v>Desk</v>
      </c>
    </row>
    <row r="125" spans="1:17"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O125" s="41">
        <f t="shared" si="2"/>
        <v>29</v>
      </c>
      <c r="P125" s="41"/>
      <c r="Q125" s="41" t="str">
        <f t="shared" si="3"/>
        <v>Desk</v>
      </c>
    </row>
    <row r="126" spans="1:17"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O126" s="41">
        <f t="shared" si="2"/>
        <v>16</v>
      </c>
      <c r="P126" s="41"/>
      <c r="Q126" s="41" t="str">
        <f t="shared" si="3"/>
        <v>Desk</v>
      </c>
    </row>
    <row r="127" spans="1:17"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O127" s="41">
        <f t="shared" si="2"/>
        <v>31</v>
      </c>
      <c r="P127" s="41"/>
      <c r="Q127" s="41" t="str">
        <f t="shared" si="3"/>
        <v>Desk</v>
      </c>
    </row>
    <row r="128" spans="1:17"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O128" s="41">
        <f t="shared" si="2"/>
        <v>35</v>
      </c>
      <c r="P128" s="41"/>
      <c r="Q128" s="41" t="str">
        <f t="shared" si="3"/>
        <v>Desk</v>
      </c>
    </row>
    <row r="129" spans="1:17"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O129" s="41">
        <f t="shared" si="2"/>
        <v>26</v>
      </c>
      <c r="P129" s="41"/>
      <c r="Q129" s="41" t="str">
        <f t="shared" si="3"/>
        <v>Desk</v>
      </c>
    </row>
    <row r="130" spans="1:17"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O130" s="41">
        <f t="shared" si="2"/>
        <v>24</v>
      </c>
      <c r="P130" s="41"/>
      <c r="Q130" s="41" t="str">
        <f t="shared" si="3"/>
        <v>Monitor</v>
      </c>
    </row>
    <row r="131" spans="1:17"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O131" s="41">
        <f t="shared" si="2"/>
        <v>31</v>
      </c>
      <c r="P131" s="41"/>
      <c r="Q131" s="41" t="str">
        <f t="shared" si="3"/>
        <v>Monitor</v>
      </c>
    </row>
    <row r="132" spans="1:17"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O132" s="41">
        <f t="shared" ref="O132:O195" si="4">COUNTIF($F$2:$F$500, F131)</f>
        <v>31</v>
      </c>
      <c r="P132" s="41"/>
      <c r="Q132" s="41" t="str">
        <f t="shared" ref="Q132:Q195" si="5">INDEX(F131:F381, MATCH(MAX(O131:O381), O131:O381, 0))</f>
        <v>Monitor</v>
      </c>
    </row>
    <row r="133" spans="1:17"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O133" s="41">
        <f t="shared" si="4"/>
        <v>24</v>
      </c>
      <c r="P133" s="41"/>
      <c r="Q133" s="41" t="str">
        <f t="shared" si="5"/>
        <v>Monitor</v>
      </c>
    </row>
    <row r="134" spans="1:17"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O134" s="41">
        <f t="shared" si="4"/>
        <v>16</v>
      </c>
      <c r="P134" s="41"/>
      <c r="Q134" s="41" t="str">
        <f t="shared" si="5"/>
        <v>Monitor</v>
      </c>
    </row>
    <row r="135" spans="1:17"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O135" s="41">
        <f t="shared" si="4"/>
        <v>34</v>
      </c>
      <c r="P135" s="41"/>
      <c r="Q135" s="41" t="str">
        <f t="shared" si="5"/>
        <v>Monitor</v>
      </c>
    </row>
    <row r="136" spans="1:17"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O136" s="41">
        <f t="shared" si="4"/>
        <v>16</v>
      </c>
      <c r="P136" s="41"/>
      <c r="Q136" s="41" t="str">
        <f t="shared" si="5"/>
        <v>Monitor</v>
      </c>
    </row>
    <row r="137" spans="1:17"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O137" s="41">
        <f t="shared" si="4"/>
        <v>31</v>
      </c>
      <c r="P137" s="41"/>
      <c r="Q137" s="41" t="str">
        <f t="shared" si="5"/>
        <v>Monitor</v>
      </c>
    </row>
    <row r="138" spans="1:17"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O138" s="41">
        <f t="shared" si="4"/>
        <v>31</v>
      </c>
      <c r="P138" s="41"/>
      <c r="Q138" s="41" t="str">
        <f t="shared" si="5"/>
        <v>Monitor</v>
      </c>
    </row>
    <row r="139" spans="1:17"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O139" s="41">
        <f t="shared" si="4"/>
        <v>34</v>
      </c>
      <c r="P139" s="41"/>
      <c r="Q139" s="41" t="str">
        <f t="shared" si="5"/>
        <v>Monitor</v>
      </c>
    </row>
    <row r="140" spans="1:17"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O140" s="41">
        <f t="shared" si="4"/>
        <v>26</v>
      </c>
      <c r="P140" s="41"/>
      <c r="Q140" s="41" t="str">
        <f t="shared" si="5"/>
        <v>Monitor</v>
      </c>
    </row>
    <row r="141" spans="1:17"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O141" s="41">
        <f t="shared" si="4"/>
        <v>26</v>
      </c>
      <c r="P141" s="41"/>
      <c r="Q141" s="41" t="str">
        <f t="shared" si="5"/>
        <v>Monitor</v>
      </c>
    </row>
    <row r="142" spans="1:17"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O142" s="41">
        <f t="shared" si="4"/>
        <v>34</v>
      </c>
      <c r="P142" s="41"/>
      <c r="Q142" s="41" t="str">
        <f t="shared" si="5"/>
        <v>Monitor</v>
      </c>
    </row>
    <row r="143" spans="1:17"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O143" s="41">
        <f t="shared" si="4"/>
        <v>35</v>
      </c>
      <c r="P143" s="41"/>
      <c r="Q143" s="41" t="str">
        <f t="shared" si="5"/>
        <v>Monitor</v>
      </c>
    </row>
    <row r="144" spans="1:17"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O144" s="41">
        <f t="shared" si="4"/>
        <v>26</v>
      </c>
      <c r="P144" s="41"/>
      <c r="Q144" s="41" t="str">
        <f t="shared" si="5"/>
        <v>Monitor</v>
      </c>
    </row>
    <row r="145" spans="1:17"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O145" s="41">
        <f t="shared" si="4"/>
        <v>16</v>
      </c>
      <c r="P145" s="41"/>
      <c r="Q145" s="41" t="str">
        <f t="shared" si="5"/>
        <v>Blender</v>
      </c>
    </row>
    <row r="146" spans="1:17"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O146" s="41">
        <f t="shared" si="4"/>
        <v>29</v>
      </c>
      <c r="P146" s="41"/>
      <c r="Q146" s="41" t="str">
        <f t="shared" si="5"/>
        <v>Blender</v>
      </c>
    </row>
    <row r="147" spans="1:17"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O147" s="41">
        <f t="shared" si="4"/>
        <v>26</v>
      </c>
      <c r="P147" s="41"/>
      <c r="Q147" s="41" t="str">
        <f t="shared" si="5"/>
        <v>Blender</v>
      </c>
    </row>
    <row r="148" spans="1:17"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O148" s="41">
        <f t="shared" si="4"/>
        <v>35</v>
      </c>
      <c r="P148" s="41"/>
      <c r="Q148" s="41" t="str">
        <f t="shared" si="5"/>
        <v>Blender</v>
      </c>
    </row>
    <row r="149" spans="1:17"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O149" s="41">
        <f t="shared" si="4"/>
        <v>29</v>
      </c>
      <c r="P149" s="41"/>
      <c r="Q149" s="41" t="str">
        <f t="shared" si="5"/>
        <v>Blender</v>
      </c>
    </row>
    <row r="150" spans="1:17"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O150" s="41">
        <f t="shared" si="4"/>
        <v>35</v>
      </c>
      <c r="P150" s="41"/>
      <c r="Q150" s="41" t="str">
        <f t="shared" si="5"/>
        <v>Smartphone</v>
      </c>
    </row>
    <row r="151" spans="1:17"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O151" s="41">
        <f t="shared" si="4"/>
        <v>31</v>
      </c>
      <c r="P151" s="41"/>
      <c r="Q151" s="41" t="str">
        <f t="shared" si="5"/>
        <v>Smartphone</v>
      </c>
    </row>
    <row r="152" spans="1:17"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O152" s="41">
        <f t="shared" si="4"/>
        <v>15</v>
      </c>
      <c r="P152" s="41"/>
      <c r="Q152" s="41" t="str">
        <f t="shared" si="5"/>
        <v>Desk</v>
      </c>
    </row>
    <row r="153" spans="1:17"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O153" s="41">
        <f t="shared" si="4"/>
        <v>29</v>
      </c>
      <c r="P153" s="41"/>
      <c r="Q153" s="41" t="str">
        <f t="shared" si="5"/>
        <v>Desk</v>
      </c>
    </row>
    <row r="154" spans="1:17"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O154" s="41">
        <f t="shared" si="4"/>
        <v>31</v>
      </c>
      <c r="P154" s="41"/>
      <c r="Q154" s="41" t="str">
        <f t="shared" si="5"/>
        <v>Desk</v>
      </c>
    </row>
    <row r="155" spans="1:17"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O155" s="41">
        <f t="shared" si="4"/>
        <v>26</v>
      </c>
      <c r="P155" s="41"/>
      <c r="Q155" s="41" t="str">
        <f t="shared" si="5"/>
        <v>Desk</v>
      </c>
    </row>
    <row r="156" spans="1:17"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O156" s="41">
        <f t="shared" si="4"/>
        <v>35</v>
      </c>
      <c r="P156" s="41"/>
      <c r="Q156" s="41" t="str">
        <f t="shared" si="5"/>
        <v>Desk</v>
      </c>
    </row>
    <row r="157" spans="1:17"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O157" s="41">
        <f t="shared" si="4"/>
        <v>26</v>
      </c>
      <c r="P157" s="41"/>
      <c r="Q157" s="41" t="str">
        <f t="shared" si="5"/>
        <v>Desk</v>
      </c>
    </row>
    <row r="158" spans="1:17"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O158" s="41">
        <f t="shared" si="4"/>
        <v>26</v>
      </c>
      <c r="P158" s="41"/>
      <c r="Q158" s="41" t="str">
        <f t="shared" si="5"/>
        <v>Desk</v>
      </c>
    </row>
    <row r="159" spans="1:17"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O159" s="41">
        <f t="shared" si="4"/>
        <v>16</v>
      </c>
      <c r="P159" s="41"/>
      <c r="Q159" s="41" t="str">
        <f t="shared" si="5"/>
        <v>Desk</v>
      </c>
    </row>
    <row r="160" spans="1:17"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O160" s="41">
        <f t="shared" si="4"/>
        <v>31</v>
      </c>
      <c r="P160" s="41"/>
      <c r="Q160" s="41" t="str">
        <f t="shared" si="5"/>
        <v>Desk</v>
      </c>
    </row>
    <row r="161" spans="1:17"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O161" s="41">
        <f t="shared" si="4"/>
        <v>26</v>
      </c>
      <c r="P161" s="41"/>
      <c r="Q161" s="41" t="str">
        <f t="shared" si="5"/>
        <v>Desk</v>
      </c>
    </row>
    <row r="162" spans="1:17"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O162" s="41">
        <f t="shared" si="4"/>
        <v>31</v>
      </c>
      <c r="P162" s="41"/>
      <c r="Q162" s="41" t="str">
        <f t="shared" si="5"/>
        <v>Desk</v>
      </c>
    </row>
    <row r="163" spans="1:17"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O163" s="41">
        <f t="shared" si="4"/>
        <v>26</v>
      </c>
      <c r="P163" s="41"/>
      <c r="Q163" s="41" t="str">
        <f t="shared" si="5"/>
        <v>Desk</v>
      </c>
    </row>
    <row r="164" spans="1:17"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O164" s="41">
        <f t="shared" si="4"/>
        <v>29</v>
      </c>
      <c r="P164" s="41"/>
      <c r="Q164" s="41" t="str">
        <f t="shared" si="5"/>
        <v>Desk</v>
      </c>
    </row>
    <row r="165" spans="1:17"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O165" s="41">
        <f t="shared" si="4"/>
        <v>14</v>
      </c>
      <c r="P165" s="41"/>
      <c r="Q165" s="41" t="str">
        <f t="shared" si="5"/>
        <v>Desk</v>
      </c>
    </row>
    <row r="166" spans="1:17"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O166" s="41">
        <f t="shared" si="4"/>
        <v>14</v>
      </c>
      <c r="P166" s="41"/>
      <c r="Q166" s="41" t="str">
        <f t="shared" si="5"/>
        <v>Desk</v>
      </c>
    </row>
    <row r="167" spans="1:17"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O167" s="41">
        <f t="shared" si="4"/>
        <v>24</v>
      </c>
      <c r="P167" s="41"/>
      <c r="Q167" s="41" t="str">
        <f t="shared" si="5"/>
        <v>Desk</v>
      </c>
    </row>
    <row r="168" spans="1:17"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O168" s="41">
        <f t="shared" si="4"/>
        <v>35</v>
      </c>
      <c r="P168" s="41"/>
      <c r="Q168" s="41" t="str">
        <f t="shared" si="5"/>
        <v>Desk</v>
      </c>
    </row>
    <row r="169" spans="1:17"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O169" s="41">
        <f t="shared" si="4"/>
        <v>26</v>
      </c>
      <c r="P169" s="41"/>
      <c r="Q169" s="41" t="str">
        <f t="shared" si="5"/>
        <v>Desk</v>
      </c>
    </row>
    <row r="170" spans="1:17"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O170" s="41">
        <f t="shared" si="4"/>
        <v>29</v>
      </c>
      <c r="P170" s="41"/>
      <c r="Q170" s="41" t="str">
        <f t="shared" si="5"/>
        <v>Headphones</v>
      </c>
    </row>
    <row r="171" spans="1:17"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O171" s="41">
        <f t="shared" si="4"/>
        <v>34</v>
      </c>
      <c r="P171" s="41"/>
      <c r="Q171" s="41" t="str">
        <f t="shared" si="5"/>
        <v>Headphones</v>
      </c>
    </row>
    <row r="172" spans="1:17"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O172" s="41">
        <f t="shared" si="4"/>
        <v>24</v>
      </c>
      <c r="P172" s="41"/>
      <c r="Q172" s="41" t="str">
        <f t="shared" si="5"/>
        <v>Headphones</v>
      </c>
    </row>
    <row r="173" spans="1:17"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O173" s="41">
        <f t="shared" si="4"/>
        <v>35</v>
      </c>
      <c r="P173" s="41"/>
      <c r="Q173" s="41" t="str">
        <f t="shared" si="5"/>
        <v>Headphones</v>
      </c>
    </row>
    <row r="174" spans="1:17"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O174" s="41">
        <f t="shared" si="4"/>
        <v>16</v>
      </c>
      <c r="P174" s="41"/>
      <c r="Q174" s="41" t="str">
        <f t="shared" si="5"/>
        <v>Headphones</v>
      </c>
    </row>
    <row r="175" spans="1:17"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O175" s="41">
        <f t="shared" si="4"/>
        <v>35</v>
      </c>
      <c r="P175" s="41"/>
      <c r="Q175" s="41" t="str">
        <f t="shared" si="5"/>
        <v>Desk</v>
      </c>
    </row>
    <row r="176" spans="1:17"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O176" s="41">
        <f t="shared" si="4"/>
        <v>26</v>
      </c>
      <c r="P176" s="41"/>
      <c r="Q176" s="41" t="str">
        <f t="shared" si="5"/>
        <v>Desk</v>
      </c>
    </row>
    <row r="177" spans="1:17"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O177" s="41">
        <f t="shared" si="4"/>
        <v>26</v>
      </c>
      <c r="P177" s="41"/>
      <c r="Q177" s="41" t="str">
        <f t="shared" si="5"/>
        <v>Laptop</v>
      </c>
    </row>
    <row r="178" spans="1:17"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O178" s="41">
        <f t="shared" si="4"/>
        <v>15</v>
      </c>
      <c r="P178" s="41"/>
      <c r="Q178" s="41" t="str">
        <f t="shared" si="5"/>
        <v>Laptop</v>
      </c>
    </row>
    <row r="179" spans="1:17"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O179" s="41">
        <f t="shared" si="4"/>
        <v>34</v>
      </c>
      <c r="P179" s="41"/>
      <c r="Q179" s="41" t="str">
        <f t="shared" si="5"/>
        <v>Laptop</v>
      </c>
    </row>
    <row r="180" spans="1:17"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O180" s="41">
        <f t="shared" si="4"/>
        <v>35</v>
      </c>
      <c r="P180" s="41"/>
      <c r="Q180" s="41" t="str">
        <f t="shared" si="5"/>
        <v>Laptop</v>
      </c>
    </row>
    <row r="181" spans="1:17"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O181" s="41">
        <f t="shared" si="4"/>
        <v>24</v>
      </c>
      <c r="P181" s="41"/>
      <c r="Q181" s="41" t="str">
        <f t="shared" si="5"/>
        <v>Laptop</v>
      </c>
    </row>
    <row r="182" spans="1:17"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O182" s="41">
        <f t="shared" si="4"/>
        <v>34</v>
      </c>
      <c r="P182" s="41"/>
      <c r="Q182" s="41" t="str">
        <f t="shared" si="5"/>
        <v>Blender</v>
      </c>
    </row>
    <row r="183" spans="1:17"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O183" s="41">
        <f t="shared" si="4"/>
        <v>24</v>
      </c>
      <c r="P183" s="41"/>
      <c r="Q183" s="41" t="str">
        <f t="shared" si="5"/>
        <v>Blender</v>
      </c>
    </row>
    <row r="184" spans="1:17"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O184" s="41">
        <f t="shared" si="4"/>
        <v>16</v>
      </c>
      <c r="P184" s="41"/>
      <c r="Q184" s="41" t="str">
        <f t="shared" si="5"/>
        <v>Blender</v>
      </c>
    </row>
    <row r="185" spans="1:17"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O185" s="41">
        <f t="shared" si="4"/>
        <v>26</v>
      </c>
      <c r="P185" s="41"/>
      <c r="Q185" s="41" t="str">
        <f t="shared" si="5"/>
        <v>Blender</v>
      </c>
    </row>
    <row r="186" spans="1:17"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O186" s="41">
        <f t="shared" si="4"/>
        <v>31</v>
      </c>
      <c r="P186" s="41"/>
      <c r="Q186" s="41" t="str">
        <f t="shared" si="5"/>
        <v>Blender</v>
      </c>
    </row>
    <row r="187" spans="1:17"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O187" s="41">
        <f t="shared" si="4"/>
        <v>15</v>
      </c>
      <c r="P187" s="41"/>
      <c r="Q187" s="41" t="str">
        <f t="shared" si="5"/>
        <v>Blender</v>
      </c>
    </row>
    <row r="188" spans="1:17"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O188" s="41">
        <f t="shared" si="4"/>
        <v>26</v>
      </c>
      <c r="P188" s="41"/>
      <c r="Q188" s="41" t="str">
        <f t="shared" si="5"/>
        <v>Blender</v>
      </c>
    </row>
    <row r="189" spans="1:17"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O189" s="41">
        <f t="shared" si="4"/>
        <v>16</v>
      </c>
      <c r="P189" s="41"/>
      <c r="Q189" s="41" t="str">
        <f t="shared" si="5"/>
        <v>Blender</v>
      </c>
    </row>
    <row r="190" spans="1:17"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O190" s="41">
        <f t="shared" si="4"/>
        <v>31</v>
      </c>
      <c r="P190" s="41"/>
      <c r="Q190" s="41" t="str">
        <f t="shared" si="5"/>
        <v>Blender</v>
      </c>
    </row>
    <row r="191" spans="1:17"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O191" s="41">
        <f t="shared" si="4"/>
        <v>14</v>
      </c>
      <c r="P191" s="41"/>
      <c r="Q191" s="41" t="str">
        <f t="shared" si="5"/>
        <v>Blender</v>
      </c>
    </row>
    <row r="192" spans="1:17"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O192" s="41">
        <f t="shared" si="4"/>
        <v>26</v>
      </c>
      <c r="P192" s="41"/>
      <c r="Q192" s="41" t="str">
        <f t="shared" si="5"/>
        <v>Blender</v>
      </c>
    </row>
    <row r="193" spans="1:17"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O193" s="41">
        <f t="shared" si="4"/>
        <v>26</v>
      </c>
      <c r="P193" s="41"/>
      <c r="Q193" s="41" t="str">
        <f t="shared" si="5"/>
        <v>Blender</v>
      </c>
    </row>
    <row r="194" spans="1:17"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O194" s="41">
        <f t="shared" si="4"/>
        <v>16</v>
      </c>
      <c r="P194" s="41"/>
      <c r="Q194" s="41" t="str">
        <f t="shared" si="5"/>
        <v>Blender</v>
      </c>
    </row>
    <row r="195" spans="1:17"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O195" s="41">
        <f t="shared" si="4"/>
        <v>26</v>
      </c>
      <c r="P195" s="41"/>
      <c r="Q195" s="41" t="str">
        <f t="shared" si="5"/>
        <v>Blender</v>
      </c>
    </row>
    <row r="196" spans="1:17"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O196" s="41">
        <f t="shared" ref="O196:O252" si="6">COUNTIF($F$2:$F$500, F195)</f>
        <v>15</v>
      </c>
      <c r="P196" s="41"/>
      <c r="Q196" s="41" t="str">
        <f t="shared" ref="Q196:Q252" si="7">INDEX(F195:F445, MATCH(MAX(O195:O445), O195:O445, 0))</f>
        <v>Blender</v>
      </c>
    </row>
    <row r="197" spans="1:17"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O197" s="41">
        <f t="shared" si="6"/>
        <v>26</v>
      </c>
      <c r="P197" s="41"/>
      <c r="Q197" s="41" t="str">
        <f t="shared" si="7"/>
        <v>Blender</v>
      </c>
    </row>
    <row r="198" spans="1:17"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O198" s="41">
        <f t="shared" si="6"/>
        <v>35</v>
      </c>
      <c r="P198" s="41"/>
      <c r="Q198" s="41" t="str">
        <f t="shared" si="7"/>
        <v>Blender</v>
      </c>
    </row>
    <row r="199" spans="1:17"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O199" s="41">
        <f t="shared" si="6"/>
        <v>29</v>
      </c>
      <c r="P199" s="41"/>
      <c r="Q199" s="41" t="str">
        <f t="shared" si="7"/>
        <v>Blender</v>
      </c>
    </row>
    <row r="200" spans="1:17"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O200" s="41">
        <f t="shared" si="6"/>
        <v>29</v>
      </c>
      <c r="P200" s="41"/>
      <c r="Q200" s="41" t="str">
        <f t="shared" si="7"/>
        <v>Desk</v>
      </c>
    </row>
    <row r="201" spans="1:17"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O201" s="41">
        <f t="shared" si="6"/>
        <v>26</v>
      </c>
      <c r="P201" s="41"/>
      <c r="Q201" s="41" t="str">
        <f t="shared" si="7"/>
        <v>Desk</v>
      </c>
    </row>
    <row r="202" spans="1:17"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O202" s="41">
        <f t="shared" si="6"/>
        <v>24</v>
      </c>
      <c r="P202" s="41"/>
      <c r="Q202" s="41" t="str">
        <f t="shared" si="7"/>
        <v>Desk</v>
      </c>
    </row>
    <row r="203" spans="1:17"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O203" s="41">
        <f t="shared" si="6"/>
        <v>26</v>
      </c>
      <c r="P203" s="41"/>
      <c r="Q203" s="41" t="str">
        <f t="shared" si="7"/>
        <v>Desk</v>
      </c>
    </row>
    <row r="204" spans="1:17"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O204" s="41">
        <f t="shared" si="6"/>
        <v>31</v>
      </c>
      <c r="P204" s="41"/>
      <c r="Q204" s="41" t="str">
        <f t="shared" si="7"/>
        <v>Desk</v>
      </c>
    </row>
    <row r="205" spans="1:17"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O205" s="41">
        <f t="shared" si="6"/>
        <v>31</v>
      </c>
      <c r="P205" s="41"/>
      <c r="Q205" s="41" t="str">
        <f t="shared" si="7"/>
        <v>Desk</v>
      </c>
    </row>
    <row r="206" spans="1:17"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O206" s="41">
        <f t="shared" si="6"/>
        <v>34</v>
      </c>
      <c r="P206" s="41"/>
      <c r="Q206" s="41" t="str">
        <f t="shared" si="7"/>
        <v>Desk</v>
      </c>
    </row>
    <row r="207" spans="1:17"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O207" s="41">
        <f t="shared" si="6"/>
        <v>34</v>
      </c>
      <c r="P207" s="41"/>
      <c r="Q207" s="41" t="str">
        <f t="shared" si="7"/>
        <v>Desk</v>
      </c>
    </row>
    <row r="208" spans="1:17"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O208" s="41">
        <f t="shared" si="6"/>
        <v>29</v>
      </c>
      <c r="P208" s="41"/>
      <c r="Q208" s="41" t="str">
        <f t="shared" si="7"/>
        <v>Desk</v>
      </c>
    </row>
    <row r="209" spans="1:17"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O209" s="41">
        <f t="shared" si="6"/>
        <v>35</v>
      </c>
      <c r="P209" s="41"/>
      <c r="Q209" s="41" t="str">
        <f t="shared" si="7"/>
        <v>Desk</v>
      </c>
    </row>
    <row r="210" spans="1:17"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O210" s="41">
        <f t="shared" si="6"/>
        <v>26</v>
      </c>
      <c r="P210" s="41"/>
      <c r="Q210" s="41" t="str">
        <f t="shared" si="7"/>
        <v>Desk</v>
      </c>
    </row>
    <row r="211" spans="1:17"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O211" s="41">
        <f t="shared" si="6"/>
        <v>29</v>
      </c>
      <c r="P211" s="41"/>
      <c r="Q211" s="41" t="str">
        <f t="shared" si="7"/>
        <v>Smartphone</v>
      </c>
    </row>
    <row r="212" spans="1:17"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O212" s="41">
        <f t="shared" si="6"/>
        <v>14</v>
      </c>
      <c r="P212" s="41"/>
      <c r="Q212" s="41" t="str">
        <f t="shared" si="7"/>
        <v>Smartphone</v>
      </c>
    </row>
    <row r="213" spans="1:17"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O213" s="41">
        <f t="shared" si="6"/>
        <v>15</v>
      </c>
      <c r="P213" s="41"/>
      <c r="Q213" s="41" t="str">
        <f t="shared" si="7"/>
        <v>Smartphone</v>
      </c>
    </row>
    <row r="214" spans="1:17"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O214" s="41">
        <f t="shared" si="6"/>
        <v>34</v>
      </c>
      <c r="P214" s="41"/>
      <c r="Q214" s="41" t="str">
        <f t="shared" si="7"/>
        <v>Smartphone</v>
      </c>
    </row>
    <row r="215" spans="1:17"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O215" s="41">
        <f t="shared" si="6"/>
        <v>35</v>
      </c>
      <c r="P215" s="41"/>
      <c r="Q215" s="41" t="str">
        <f t="shared" si="7"/>
        <v>Smartphone</v>
      </c>
    </row>
    <row r="216" spans="1:17"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O216" s="41">
        <f t="shared" si="6"/>
        <v>31</v>
      </c>
      <c r="P216" s="41"/>
      <c r="Q216" s="41" t="str">
        <f t="shared" si="7"/>
        <v>Smartphone</v>
      </c>
    </row>
    <row r="217" spans="1:17"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O217" s="41">
        <f t="shared" si="6"/>
        <v>35</v>
      </c>
      <c r="P217" s="41"/>
      <c r="Q217" s="41" t="str">
        <f t="shared" si="7"/>
        <v>Laptop</v>
      </c>
    </row>
    <row r="218" spans="1:17"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O218" s="41">
        <f t="shared" si="6"/>
        <v>24</v>
      </c>
      <c r="P218" s="41"/>
      <c r="Q218" s="41" t="str">
        <f t="shared" si="7"/>
        <v>Laptop</v>
      </c>
    </row>
    <row r="219" spans="1:17"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O219" s="41">
        <f t="shared" si="6"/>
        <v>15</v>
      </c>
      <c r="P219" s="41"/>
      <c r="Q219" s="41" t="str">
        <f t="shared" si="7"/>
        <v>Keyboard</v>
      </c>
    </row>
    <row r="220" spans="1:17"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O220" s="41">
        <f t="shared" si="6"/>
        <v>26</v>
      </c>
      <c r="P220" s="41"/>
      <c r="Q220" s="41" t="str">
        <f t="shared" si="7"/>
        <v>Keyboard</v>
      </c>
    </row>
    <row r="221" spans="1:17"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O221" s="41">
        <f t="shared" si="6"/>
        <v>31</v>
      </c>
      <c r="P221" s="41"/>
      <c r="Q221" s="41" t="str">
        <f t="shared" si="7"/>
        <v>Keyboard</v>
      </c>
    </row>
    <row r="222" spans="1:17"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O222" s="41">
        <f t="shared" si="6"/>
        <v>31</v>
      </c>
      <c r="P222" s="41"/>
      <c r="Q222" s="41" t="str">
        <f t="shared" si="7"/>
        <v>Keyboard</v>
      </c>
    </row>
    <row r="223" spans="1:17"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O223" s="41">
        <f t="shared" si="6"/>
        <v>35</v>
      </c>
      <c r="P223" s="41"/>
      <c r="Q223" s="41" t="str">
        <f t="shared" si="7"/>
        <v>Keyboard</v>
      </c>
    </row>
    <row r="224" spans="1:17"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O224" s="41">
        <f t="shared" si="6"/>
        <v>34</v>
      </c>
      <c r="P224" s="41"/>
      <c r="Q224" s="41" t="str">
        <f t="shared" si="7"/>
        <v>Keyboard</v>
      </c>
    </row>
    <row r="225" spans="1:17"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O225" s="41">
        <f t="shared" si="6"/>
        <v>15</v>
      </c>
      <c r="P225" s="41"/>
      <c r="Q225" s="41" t="str">
        <f t="shared" si="7"/>
        <v>Smartphone</v>
      </c>
    </row>
    <row r="226" spans="1:17"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O226" s="41">
        <f t="shared" si="6"/>
        <v>29</v>
      </c>
      <c r="P226" s="41"/>
      <c r="Q226" s="41" t="str">
        <f t="shared" si="7"/>
        <v>Smartphone</v>
      </c>
    </row>
    <row r="227" spans="1:17"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O227" s="41">
        <f t="shared" si="6"/>
        <v>26</v>
      </c>
      <c r="P227" s="41"/>
      <c r="Q227" s="41" t="str">
        <f t="shared" si="7"/>
        <v>Smartphone</v>
      </c>
    </row>
    <row r="228" spans="1:17"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O228" s="41">
        <f t="shared" si="6"/>
        <v>35</v>
      </c>
      <c r="P228" s="41"/>
      <c r="Q228" s="41" t="str">
        <f t="shared" si="7"/>
        <v>Smartphone</v>
      </c>
    </row>
    <row r="229" spans="1:17"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O229" s="41">
        <f t="shared" si="6"/>
        <v>31</v>
      </c>
      <c r="P229" s="41"/>
      <c r="Q229" s="41" t="str">
        <f t="shared" si="7"/>
        <v>Smartphone</v>
      </c>
    </row>
    <row r="230" spans="1:17"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O230" s="41">
        <f t="shared" si="6"/>
        <v>29</v>
      </c>
      <c r="P230" s="41"/>
      <c r="Q230" s="41" t="str">
        <f t="shared" si="7"/>
        <v>Laptop</v>
      </c>
    </row>
    <row r="231" spans="1:17"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O231" s="41">
        <f t="shared" si="6"/>
        <v>34</v>
      </c>
      <c r="P231" s="41"/>
      <c r="Q231" s="41" t="str">
        <f t="shared" si="7"/>
        <v>Laptop</v>
      </c>
    </row>
    <row r="232" spans="1:17"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O232" s="41">
        <f t="shared" si="6"/>
        <v>26</v>
      </c>
      <c r="P232" s="41"/>
      <c r="Q232" s="41" t="str">
        <f t="shared" si="7"/>
        <v>Laptop</v>
      </c>
    </row>
    <row r="233" spans="1:17"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O233" s="41">
        <f t="shared" si="6"/>
        <v>35</v>
      </c>
      <c r="P233" s="41"/>
      <c r="Q233" s="41" t="str">
        <f t="shared" si="7"/>
        <v>Laptop</v>
      </c>
    </row>
    <row r="234" spans="1:17"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O234" s="41">
        <f t="shared" si="6"/>
        <v>24</v>
      </c>
      <c r="P234" s="41"/>
      <c r="Q234" s="41" t="str">
        <f t="shared" si="7"/>
        <v>Laptop</v>
      </c>
    </row>
    <row r="235" spans="1:17"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O235" s="41">
        <f t="shared" si="6"/>
        <v>35</v>
      </c>
      <c r="P235" s="41"/>
      <c r="Q235" s="41" t="str">
        <f t="shared" si="7"/>
        <v>Monitor</v>
      </c>
    </row>
    <row r="236" spans="1:17"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O236" s="41">
        <f t="shared" si="6"/>
        <v>26</v>
      </c>
      <c r="P236" s="41"/>
      <c r="Q236" s="41" t="str">
        <f t="shared" si="7"/>
        <v>Monitor</v>
      </c>
    </row>
    <row r="237" spans="1:17"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O237" s="41">
        <f t="shared" si="6"/>
        <v>29</v>
      </c>
      <c r="P237" s="41"/>
      <c r="Q237" s="41" t="str">
        <f t="shared" si="7"/>
        <v>Laptop</v>
      </c>
    </row>
    <row r="238" spans="1:17"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O238" s="41">
        <f t="shared" si="6"/>
        <v>35</v>
      </c>
      <c r="P238" s="41"/>
      <c r="Q238" s="41" t="str">
        <f t="shared" si="7"/>
        <v>Laptop</v>
      </c>
    </row>
    <row r="239" spans="1:17"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O239" s="41">
        <f t="shared" si="6"/>
        <v>24</v>
      </c>
      <c r="P239" s="41"/>
      <c r="Q239" s="41" t="str">
        <f t="shared" si="7"/>
        <v>Laptop</v>
      </c>
    </row>
    <row r="240" spans="1:17"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O240" s="41">
        <f t="shared" si="6"/>
        <v>24</v>
      </c>
      <c r="P240" s="41"/>
      <c r="Q240" s="41" t="str">
        <f t="shared" si="7"/>
        <v>Coffee Maker</v>
      </c>
    </row>
    <row r="241" spans="1:17"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O241" s="41">
        <f t="shared" si="6"/>
        <v>26</v>
      </c>
      <c r="P241" s="41"/>
      <c r="Q241" s="41" t="str">
        <f t="shared" si="7"/>
        <v>Coffee Maker</v>
      </c>
    </row>
    <row r="242" spans="1:17"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O242" s="41">
        <f t="shared" si="6"/>
        <v>35</v>
      </c>
      <c r="P242" s="41"/>
      <c r="Q242" s="41" t="str">
        <f t="shared" si="7"/>
        <v>Coffee Maker</v>
      </c>
    </row>
    <row r="243" spans="1:17"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O243" s="41">
        <f t="shared" si="6"/>
        <v>14</v>
      </c>
      <c r="P243" s="41"/>
      <c r="Q243" s="41" t="str">
        <f t="shared" si="7"/>
        <v>Coffee Maker</v>
      </c>
    </row>
    <row r="244" spans="1:17"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O244" s="41">
        <f t="shared" si="6"/>
        <v>34</v>
      </c>
      <c r="P244" s="41"/>
      <c r="Q244" s="41" t="str">
        <f t="shared" si="7"/>
        <v>Keyboard</v>
      </c>
    </row>
    <row r="245" spans="1:17"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O245" s="41">
        <f t="shared" si="6"/>
        <v>35</v>
      </c>
      <c r="P245" s="41"/>
      <c r="Q245" s="41" t="str">
        <f t="shared" si="7"/>
        <v>Keyboard</v>
      </c>
    </row>
    <row r="246" spans="1:17"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O246" s="41">
        <f t="shared" si="6"/>
        <v>34</v>
      </c>
      <c r="P246" s="41"/>
      <c r="Q246" s="41" t="str">
        <f t="shared" si="7"/>
        <v>Keyboard</v>
      </c>
    </row>
    <row r="247" spans="1:17"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O247" s="41">
        <f t="shared" si="6"/>
        <v>31</v>
      </c>
      <c r="P247" s="41"/>
      <c r="Q247" s="41" t="str">
        <f t="shared" si="7"/>
        <v>Smartphone</v>
      </c>
    </row>
    <row r="248" spans="1:17"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O248" s="41">
        <f t="shared" si="6"/>
        <v>24</v>
      </c>
      <c r="P248" s="41"/>
      <c r="Q248" s="41" t="str">
        <f t="shared" si="7"/>
        <v>Smartphone</v>
      </c>
    </row>
    <row r="249" spans="1:17"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O249" s="41">
        <f t="shared" si="6"/>
        <v>14</v>
      </c>
      <c r="P249" s="41"/>
      <c r="Q249" s="41" t="str">
        <f t="shared" si="7"/>
        <v>Smartphone</v>
      </c>
    </row>
    <row r="250" spans="1:17"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O250" s="41">
        <f t="shared" si="6"/>
        <v>34</v>
      </c>
      <c r="P250" s="41"/>
      <c r="Q250" s="41" t="str">
        <f t="shared" si="7"/>
        <v>Smartphone</v>
      </c>
    </row>
    <row r="251" spans="1:17"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O251" s="41">
        <f t="shared" si="6"/>
        <v>31</v>
      </c>
      <c r="P251" s="41"/>
      <c r="Q251" s="41" t="str">
        <f t="shared" si="7"/>
        <v>Smartphone</v>
      </c>
    </row>
    <row r="252" spans="1:17"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O252" s="41">
        <f t="shared" si="6"/>
        <v>34</v>
      </c>
      <c r="P252" s="41"/>
      <c r="Q252" s="41" t="str">
        <f t="shared" si="7"/>
        <v>Keyboard</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F930A-2257-427B-8634-7D179393A06C}">
  <dimension ref="A1:O252"/>
  <sheetViews>
    <sheetView workbookViewId="0">
      <selection activeCell="H15" sqref="H15"/>
    </sheetView>
  </sheetViews>
  <sheetFormatPr defaultRowHeight="14.4"/>
  <cols>
    <col min="2" max="2" width="10.33203125" bestFit="1" customWidth="1"/>
    <col min="13" max="13" width="10.33203125" bestFit="1" customWidth="1"/>
  </cols>
  <sheetData>
    <row r="1" spans="1:15" ht="15" thickBot="1">
      <c r="A1" t="s">
        <v>455</v>
      </c>
    </row>
    <row r="2" spans="1:15"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42" t="s">
        <v>456</v>
      </c>
    </row>
    <row r="3" spans="1:15"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O3" s="43" t="str">
        <f>IF(ISNUMBER(MATCH(D2,$H$2:$H$252,0)),"Match","No Match")</f>
        <v>No Match</v>
      </c>
    </row>
    <row r="4" spans="1:15"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s="43" t="str">
        <f t="shared" ref="O4:O67" si="0">IF(ISNUMBER(MATCH(D3,$H$2:$H$252,0)),"Match","No Match")</f>
        <v>No Match</v>
      </c>
    </row>
    <row r="5" spans="1:15"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O5" s="43" t="str">
        <f t="shared" si="0"/>
        <v>No Match</v>
      </c>
    </row>
    <row r="6" spans="1:15"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O6" s="43" t="str">
        <f t="shared" si="0"/>
        <v>No Match</v>
      </c>
    </row>
    <row r="7" spans="1:15"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O7" s="43" t="str">
        <f t="shared" si="0"/>
        <v>No Match</v>
      </c>
    </row>
    <row r="8" spans="1:15"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O8" s="43" t="str">
        <f t="shared" si="0"/>
        <v>No Match</v>
      </c>
    </row>
    <row r="9" spans="1:15"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O9" s="43" t="str">
        <f t="shared" si="0"/>
        <v>No Match</v>
      </c>
    </row>
    <row r="10" spans="1:15"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O10" s="43" t="str">
        <f t="shared" si="0"/>
        <v>No Match</v>
      </c>
    </row>
    <row r="11" spans="1:15"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O11" s="43" t="str">
        <f t="shared" si="0"/>
        <v>No Match</v>
      </c>
    </row>
    <row r="12" spans="1:15"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O12" s="43" t="str">
        <f t="shared" si="0"/>
        <v>No Match</v>
      </c>
    </row>
    <row r="13" spans="1:15"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O13" s="43" t="str">
        <f t="shared" si="0"/>
        <v>No Match</v>
      </c>
    </row>
    <row r="14" spans="1:15"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O14" s="43" t="str">
        <f t="shared" si="0"/>
        <v>No Match</v>
      </c>
    </row>
    <row r="15" spans="1:15"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O15" s="43" t="str">
        <f t="shared" si="0"/>
        <v>No Match</v>
      </c>
    </row>
    <row r="16" spans="1:15"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O16" s="43" t="str">
        <f t="shared" si="0"/>
        <v>No Match</v>
      </c>
    </row>
    <row r="17" spans="1:15"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O17" s="43" t="str">
        <f t="shared" si="0"/>
        <v>No Match</v>
      </c>
    </row>
    <row r="18" spans="1:15"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O18" s="43" t="str">
        <f t="shared" si="0"/>
        <v>No Match</v>
      </c>
    </row>
    <row r="19" spans="1:15"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O19" s="43" t="str">
        <f t="shared" si="0"/>
        <v>No Match</v>
      </c>
    </row>
    <row r="20" spans="1:15"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O20" s="43" t="str">
        <f t="shared" si="0"/>
        <v>No Match</v>
      </c>
    </row>
    <row r="21" spans="1:15"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O21" s="43" t="str">
        <f t="shared" si="0"/>
        <v>No Match</v>
      </c>
    </row>
    <row r="22" spans="1:15"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O22" s="43" t="str">
        <f t="shared" si="0"/>
        <v>No Match</v>
      </c>
    </row>
    <row r="23" spans="1:15"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O23" s="43" t="str">
        <f t="shared" si="0"/>
        <v>No Match</v>
      </c>
    </row>
    <row r="24" spans="1:15"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O24" s="43" t="str">
        <f t="shared" si="0"/>
        <v>No Match</v>
      </c>
    </row>
    <row r="25" spans="1:15"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O25" s="43" t="str">
        <f t="shared" si="0"/>
        <v>No Match</v>
      </c>
    </row>
    <row r="26" spans="1:15"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O26" s="43" t="str">
        <f t="shared" si="0"/>
        <v>No Match</v>
      </c>
    </row>
    <row r="27" spans="1:15"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O27" s="43" t="str">
        <f t="shared" si="0"/>
        <v>No Match</v>
      </c>
    </row>
    <row r="28" spans="1:15"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O28" s="43" t="str">
        <f t="shared" si="0"/>
        <v>No Match</v>
      </c>
    </row>
    <row r="29" spans="1:15"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O29" s="43" t="str">
        <f t="shared" si="0"/>
        <v>No Match</v>
      </c>
    </row>
    <row r="30" spans="1:15"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O30" s="43" t="str">
        <f t="shared" si="0"/>
        <v>No Match</v>
      </c>
    </row>
    <row r="31" spans="1:15"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O31" s="43" t="str">
        <f t="shared" si="0"/>
        <v>No Match</v>
      </c>
    </row>
    <row r="32" spans="1:15"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O32" s="43" t="str">
        <f t="shared" si="0"/>
        <v>No Match</v>
      </c>
    </row>
    <row r="33" spans="1:15"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O33" s="43" t="str">
        <f t="shared" si="0"/>
        <v>No Match</v>
      </c>
    </row>
    <row r="34" spans="1:15"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O34" s="43" t="str">
        <f t="shared" si="0"/>
        <v>No Match</v>
      </c>
    </row>
    <row r="35" spans="1:15"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O35" s="43" t="str">
        <f t="shared" si="0"/>
        <v>No Match</v>
      </c>
    </row>
    <row r="36" spans="1:15"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O36" s="43" t="str">
        <f t="shared" si="0"/>
        <v>No Match</v>
      </c>
    </row>
    <row r="37" spans="1:15"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O37" s="43" t="str">
        <f t="shared" si="0"/>
        <v>No Match</v>
      </c>
    </row>
    <row r="38" spans="1:15"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O38" s="43" t="str">
        <f t="shared" si="0"/>
        <v>No Match</v>
      </c>
    </row>
    <row r="39" spans="1:15"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O39" s="43" t="str">
        <f t="shared" si="0"/>
        <v>No Match</v>
      </c>
    </row>
    <row r="40" spans="1:15"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O40" s="43" t="str">
        <f t="shared" si="0"/>
        <v>No Match</v>
      </c>
    </row>
    <row r="41" spans="1:15"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O41" s="43" t="str">
        <f t="shared" si="0"/>
        <v>No Match</v>
      </c>
    </row>
    <row r="42" spans="1:15"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O42" s="43" t="str">
        <f t="shared" si="0"/>
        <v>No Match</v>
      </c>
    </row>
    <row r="43" spans="1:15"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O43" s="43" t="str">
        <f t="shared" si="0"/>
        <v>No Match</v>
      </c>
    </row>
    <row r="44" spans="1:15"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O44" s="43" t="str">
        <f t="shared" si="0"/>
        <v>No Match</v>
      </c>
    </row>
    <row r="45" spans="1:15"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O45" s="43" t="str">
        <f t="shared" si="0"/>
        <v>No Match</v>
      </c>
    </row>
    <row r="46" spans="1:15"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O46" s="43" t="str">
        <f t="shared" si="0"/>
        <v>No Match</v>
      </c>
    </row>
    <row r="47" spans="1:15"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O47" s="43" t="str">
        <f t="shared" si="0"/>
        <v>No Match</v>
      </c>
    </row>
    <row r="48" spans="1:15"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O48" s="43" t="str">
        <f t="shared" si="0"/>
        <v>No Match</v>
      </c>
    </row>
    <row r="49" spans="1:15"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O49" s="43" t="str">
        <f t="shared" si="0"/>
        <v>No Match</v>
      </c>
    </row>
    <row r="50" spans="1:15"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O50" s="43" t="str">
        <f t="shared" si="0"/>
        <v>No Match</v>
      </c>
    </row>
    <row r="51" spans="1:15"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O51" s="43" t="str">
        <f t="shared" si="0"/>
        <v>No Match</v>
      </c>
    </row>
    <row r="52" spans="1:15"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O52" s="43" t="str">
        <f t="shared" si="0"/>
        <v>No Match</v>
      </c>
    </row>
    <row r="53" spans="1:15"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O53" s="43" t="str">
        <f t="shared" si="0"/>
        <v>No Match</v>
      </c>
    </row>
    <row r="54" spans="1:15"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O54" s="43" t="str">
        <f t="shared" si="0"/>
        <v>No Match</v>
      </c>
    </row>
    <row r="55" spans="1:15"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O55" s="43" t="str">
        <f t="shared" si="0"/>
        <v>No Match</v>
      </c>
    </row>
    <row r="56" spans="1:15"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O56" s="43" t="str">
        <f t="shared" si="0"/>
        <v>No Match</v>
      </c>
    </row>
    <row r="57" spans="1:15"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O57" s="43" t="str">
        <f t="shared" si="0"/>
        <v>No Match</v>
      </c>
    </row>
    <row r="58" spans="1:15"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O58" s="43" t="str">
        <f t="shared" si="0"/>
        <v>No Match</v>
      </c>
    </row>
    <row r="59" spans="1:15"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O59" s="43" t="str">
        <f t="shared" si="0"/>
        <v>No Match</v>
      </c>
    </row>
    <row r="60" spans="1:15"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O60" s="43" t="str">
        <f t="shared" si="0"/>
        <v>No Match</v>
      </c>
    </row>
    <row r="61" spans="1:15"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O61" s="43" t="str">
        <f t="shared" si="0"/>
        <v>No Match</v>
      </c>
    </row>
    <row r="62" spans="1:15"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O62" s="43" t="str">
        <f t="shared" si="0"/>
        <v>No Match</v>
      </c>
    </row>
    <row r="63" spans="1:15"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O63" s="43" t="str">
        <f t="shared" si="0"/>
        <v>No Match</v>
      </c>
    </row>
    <row r="64" spans="1:15"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O64" s="43" t="str">
        <f t="shared" si="0"/>
        <v>No Match</v>
      </c>
    </row>
    <row r="65" spans="1:15"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O65" s="43" t="str">
        <f t="shared" si="0"/>
        <v>No Match</v>
      </c>
    </row>
    <row r="66" spans="1:15"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O66" s="43" t="str">
        <f t="shared" si="0"/>
        <v>No Match</v>
      </c>
    </row>
    <row r="67" spans="1:15"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O67" s="43" t="str">
        <f t="shared" si="0"/>
        <v>No Match</v>
      </c>
    </row>
    <row r="68" spans="1:15"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O68" s="43" t="str">
        <f t="shared" ref="O68:O131" si="1">IF(ISNUMBER(MATCH(D67,$H$2:$H$252,0)),"Match","No Match")</f>
        <v>No Match</v>
      </c>
    </row>
    <row r="69" spans="1:15"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O69" s="43" t="str">
        <f t="shared" si="1"/>
        <v>No Match</v>
      </c>
    </row>
    <row r="70" spans="1:15"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O70" s="43" t="str">
        <f t="shared" si="1"/>
        <v>No Match</v>
      </c>
    </row>
    <row r="71" spans="1:15"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O71" s="43" t="str">
        <f t="shared" si="1"/>
        <v>No Match</v>
      </c>
    </row>
    <row r="72" spans="1:15"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O72" s="43" t="str">
        <f t="shared" si="1"/>
        <v>No Match</v>
      </c>
    </row>
    <row r="73" spans="1:15"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O73" s="43" t="str">
        <f t="shared" si="1"/>
        <v>No Match</v>
      </c>
    </row>
    <row r="74" spans="1:15"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O74" s="43" t="str">
        <f t="shared" si="1"/>
        <v>No Match</v>
      </c>
    </row>
    <row r="75" spans="1:15"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O75" s="43" t="str">
        <f t="shared" si="1"/>
        <v>No Match</v>
      </c>
    </row>
    <row r="76" spans="1:15"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O76" s="43" t="str">
        <f t="shared" si="1"/>
        <v>No Match</v>
      </c>
    </row>
    <row r="77" spans="1:15"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O77" s="43" t="str">
        <f t="shared" si="1"/>
        <v>No Match</v>
      </c>
    </row>
    <row r="78" spans="1:15"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O78" s="43" t="str">
        <f t="shared" si="1"/>
        <v>No Match</v>
      </c>
    </row>
    <row r="79" spans="1:15"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O79" s="43" t="str">
        <f t="shared" si="1"/>
        <v>No Match</v>
      </c>
    </row>
    <row r="80" spans="1:15"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O80" s="43" t="str">
        <f t="shared" si="1"/>
        <v>No Match</v>
      </c>
    </row>
    <row r="81" spans="1:15"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O81" s="43" t="str">
        <f t="shared" si="1"/>
        <v>No Match</v>
      </c>
    </row>
    <row r="82" spans="1:15"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O82" s="43" t="str">
        <f t="shared" si="1"/>
        <v>No Match</v>
      </c>
    </row>
    <row r="83" spans="1:15"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O83" s="43" t="str">
        <f t="shared" si="1"/>
        <v>No Match</v>
      </c>
    </row>
    <row r="84" spans="1:15"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O84" s="43" t="str">
        <f t="shared" si="1"/>
        <v>No Match</v>
      </c>
    </row>
    <row r="85" spans="1:15"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O85" s="43" t="str">
        <f t="shared" si="1"/>
        <v>No Match</v>
      </c>
    </row>
    <row r="86" spans="1:15"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O86" s="43" t="str">
        <f t="shared" si="1"/>
        <v>No Match</v>
      </c>
    </row>
    <row r="87" spans="1:15"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O87" s="43" t="str">
        <f t="shared" si="1"/>
        <v>No Match</v>
      </c>
    </row>
    <row r="88" spans="1:15"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O88" s="43" t="str">
        <f t="shared" si="1"/>
        <v>No Match</v>
      </c>
    </row>
    <row r="89" spans="1:15"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O89" s="43" t="str">
        <f t="shared" si="1"/>
        <v>No Match</v>
      </c>
    </row>
    <row r="90" spans="1:15"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O90" s="43" t="str">
        <f t="shared" si="1"/>
        <v>No Match</v>
      </c>
    </row>
    <row r="91" spans="1:15"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O91" s="43" t="str">
        <f t="shared" si="1"/>
        <v>No Match</v>
      </c>
    </row>
    <row r="92" spans="1:15"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O92" s="43" t="str">
        <f t="shared" si="1"/>
        <v>No Match</v>
      </c>
    </row>
    <row r="93" spans="1:15"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O93" s="43" t="str">
        <f t="shared" si="1"/>
        <v>No Match</v>
      </c>
    </row>
    <row r="94" spans="1:15"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O94" s="43" t="str">
        <f t="shared" si="1"/>
        <v>No Match</v>
      </c>
    </row>
    <row r="95" spans="1:15"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O95" s="43" t="str">
        <f t="shared" si="1"/>
        <v>No Match</v>
      </c>
    </row>
    <row r="96" spans="1:15"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O96" s="43" t="str">
        <f t="shared" si="1"/>
        <v>No Match</v>
      </c>
    </row>
    <row r="97" spans="1:15"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O97" s="43" t="str">
        <f t="shared" si="1"/>
        <v>No Match</v>
      </c>
    </row>
    <row r="98" spans="1:15"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O98" s="43" t="str">
        <f t="shared" si="1"/>
        <v>No Match</v>
      </c>
    </row>
    <row r="99" spans="1:15"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O99" s="43" t="str">
        <f t="shared" si="1"/>
        <v>No Match</v>
      </c>
    </row>
    <row r="100" spans="1:15"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O100" s="43" t="str">
        <f t="shared" si="1"/>
        <v>No Match</v>
      </c>
    </row>
    <row r="101" spans="1:15"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O101" s="43" t="str">
        <f t="shared" si="1"/>
        <v>No Match</v>
      </c>
    </row>
    <row r="102" spans="1:15"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O102" s="43" t="str">
        <f t="shared" si="1"/>
        <v>No Match</v>
      </c>
    </row>
    <row r="103" spans="1:15"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O103" s="43" t="str">
        <f t="shared" si="1"/>
        <v>No Match</v>
      </c>
    </row>
    <row r="104" spans="1:15"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O104" s="43" t="str">
        <f t="shared" si="1"/>
        <v>No Match</v>
      </c>
    </row>
    <row r="105" spans="1:15"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O105" s="43" t="str">
        <f t="shared" si="1"/>
        <v>No Match</v>
      </c>
    </row>
    <row r="106" spans="1:15"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O106" s="43" t="str">
        <f t="shared" si="1"/>
        <v>No Match</v>
      </c>
    </row>
    <row r="107" spans="1:15"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O107" s="43" t="str">
        <f t="shared" si="1"/>
        <v>No Match</v>
      </c>
    </row>
    <row r="108" spans="1:15"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O108" s="43" t="str">
        <f t="shared" si="1"/>
        <v>No Match</v>
      </c>
    </row>
    <row r="109" spans="1:15"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O109" s="43" t="str">
        <f t="shared" si="1"/>
        <v>No Match</v>
      </c>
    </row>
    <row r="110" spans="1:15"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O110" s="43" t="str">
        <f t="shared" si="1"/>
        <v>No Match</v>
      </c>
    </row>
    <row r="111" spans="1:15"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O111" s="43" t="str">
        <f t="shared" si="1"/>
        <v>No Match</v>
      </c>
    </row>
    <row r="112" spans="1:15"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O112" s="43" t="str">
        <f t="shared" si="1"/>
        <v>No Match</v>
      </c>
    </row>
    <row r="113" spans="1:15"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O113" s="43" t="str">
        <f t="shared" si="1"/>
        <v>No Match</v>
      </c>
    </row>
    <row r="114" spans="1:15"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O114" s="43" t="str">
        <f t="shared" si="1"/>
        <v>No Match</v>
      </c>
    </row>
    <row r="115" spans="1:15"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O115" s="43" t="str">
        <f t="shared" si="1"/>
        <v>No Match</v>
      </c>
    </row>
    <row r="116" spans="1:15"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O116" s="43" t="str">
        <f t="shared" si="1"/>
        <v>No Match</v>
      </c>
    </row>
    <row r="117" spans="1:15"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O117" s="43" t="str">
        <f t="shared" si="1"/>
        <v>No Match</v>
      </c>
    </row>
    <row r="118" spans="1:15"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O118" s="43" t="str">
        <f t="shared" si="1"/>
        <v>No Match</v>
      </c>
    </row>
    <row r="119" spans="1:15"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O119" s="43" t="str">
        <f t="shared" si="1"/>
        <v>No Match</v>
      </c>
    </row>
    <row r="120" spans="1:15"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O120" s="43" t="str">
        <f t="shared" si="1"/>
        <v>No Match</v>
      </c>
    </row>
    <row r="121" spans="1:15"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O121" s="43" t="str">
        <f t="shared" si="1"/>
        <v>No Match</v>
      </c>
    </row>
    <row r="122" spans="1:15"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O122" s="43" t="str">
        <f t="shared" si="1"/>
        <v>No Match</v>
      </c>
    </row>
    <row r="123" spans="1:15"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O123" s="43" t="str">
        <f t="shared" si="1"/>
        <v>No Match</v>
      </c>
    </row>
    <row r="124" spans="1:15"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O124" s="43" t="str">
        <f t="shared" si="1"/>
        <v>No Match</v>
      </c>
    </row>
    <row r="125" spans="1:15"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O125" s="43" t="str">
        <f t="shared" si="1"/>
        <v>No Match</v>
      </c>
    </row>
    <row r="126" spans="1:15"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O126" s="43" t="str">
        <f t="shared" si="1"/>
        <v>No Match</v>
      </c>
    </row>
    <row r="127" spans="1:15"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O127" s="43" t="str">
        <f t="shared" si="1"/>
        <v>No Match</v>
      </c>
    </row>
    <row r="128" spans="1:15"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O128" s="43" t="str">
        <f t="shared" si="1"/>
        <v>No Match</v>
      </c>
    </row>
    <row r="129" spans="1:15"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O129" s="43" t="str">
        <f t="shared" si="1"/>
        <v>No Match</v>
      </c>
    </row>
    <row r="130" spans="1:15"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O130" s="43" t="str">
        <f t="shared" si="1"/>
        <v>No Match</v>
      </c>
    </row>
    <row r="131" spans="1:15"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O131" s="43" t="str">
        <f t="shared" si="1"/>
        <v>No Match</v>
      </c>
    </row>
    <row r="132" spans="1:15"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O132" s="43" t="str">
        <f t="shared" ref="O132:O195" si="2">IF(ISNUMBER(MATCH(D131,$H$2:$H$252,0)),"Match","No Match")</f>
        <v>No Match</v>
      </c>
    </row>
    <row r="133" spans="1:15"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O133" s="43" t="str">
        <f t="shared" si="2"/>
        <v>No Match</v>
      </c>
    </row>
    <row r="134" spans="1:15"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O134" s="43" t="str">
        <f t="shared" si="2"/>
        <v>No Match</v>
      </c>
    </row>
    <row r="135" spans="1:15"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O135" s="43" t="str">
        <f t="shared" si="2"/>
        <v>No Match</v>
      </c>
    </row>
    <row r="136" spans="1:15"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O136" s="43" t="str">
        <f t="shared" si="2"/>
        <v>No Match</v>
      </c>
    </row>
    <row r="137" spans="1:15"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O137" s="43" t="str">
        <f t="shared" si="2"/>
        <v>No Match</v>
      </c>
    </row>
    <row r="138" spans="1:15"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O138" s="43" t="str">
        <f t="shared" si="2"/>
        <v>No Match</v>
      </c>
    </row>
    <row r="139" spans="1:15"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O139" s="43" t="str">
        <f t="shared" si="2"/>
        <v>No Match</v>
      </c>
    </row>
    <row r="140" spans="1:15"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O140" s="43" t="str">
        <f t="shared" si="2"/>
        <v>No Match</v>
      </c>
    </row>
    <row r="141" spans="1:15"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O141" s="43" t="str">
        <f t="shared" si="2"/>
        <v>No Match</v>
      </c>
    </row>
    <row r="142" spans="1:15"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O142" s="43" t="str">
        <f t="shared" si="2"/>
        <v>No Match</v>
      </c>
    </row>
    <row r="143" spans="1:15"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O143" s="43" t="str">
        <f t="shared" si="2"/>
        <v>No Match</v>
      </c>
    </row>
    <row r="144" spans="1:15"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O144" s="43" t="str">
        <f t="shared" si="2"/>
        <v>No Match</v>
      </c>
    </row>
    <row r="145" spans="1:15"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O145" s="43" t="str">
        <f t="shared" si="2"/>
        <v>No Match</v>
      </c>
    </row>
    <row r="146" spans="1:15"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O146" s="43" t="str">
        <f t="shared" si="2"/>
        <v>No Match</v>
      </c>
    </row>
    <row r="147" spans="1:15"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O147" s="43" t="str">
        <f t="shared" si="2"/>
        <v>No Match</v>
      </c>
    </row>
    <row r="148" spans="1:15"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O148" s="43" t="str">
        <f t="shared" si="2"/>
        <v>No Match</v>
      </c>
    </row>
    <row r="149" spans="1:15"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O149" s="43" t="str">
        <f t="shared" si="2"/>
        <v>No Match</v>
      </c>
    </row>
    <row r="150" spans="1:15"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O150" s="43" t="str">
        <f t="shared" si="2"/>
        <v>No Match</v>
      </c>
    </row>
    <row r="151" spans="1:15"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O151" s="43" t="str">
        <f t="shared" si="2"/>
        <v>No Match</v>
      </c>
    </row>
    <row r="152" spans="1:15"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O152" s="43" t="str">
        <f t="shared" si="2"/>
        <v>No Match</v>
      </c>
    </row>
    <row r="153" spans="1:15"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O153" s="43" t="str">
        <f t="shared" si="2"/>
        <v>No Match</v>
      </c>
    </row>
    <row r="154" spans="1:15"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O154" s="43" t="str">
        <f t="shared" si="2"/>
        <v>No Match</v>
      </c>
    </row>
    <row r="155" spans="1:15"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O155" s="43" t="str">
        <f t="shared" si="2"/>
        <v>No Match</v>
      </c>
    </row>
    <row r="156" spans="1:15"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O156" s="43" t="str">
        <f t="shared" si="2"/>
        <v>No Match</v>
      </c>
    </row>
    <row r="157" spans="1:15"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O157" s="43" t="str">
        <f t="shared" si="2"/>
        <v>No Match</v>
      </c>
    </row>
    <row r="158" spans="1:15"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O158" s="43" t="str">
        <f t="shared" si="2"/>
        <v>No Match</v>
      </c>
    </row>
    <row r="159" spans="1:15"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O159" s="43" t="str">
        <f t="shared" si="2"/>
        <v>No Match</v>
      </c>
    </row>
    <row r="160" spans="1:15"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O160" s="43" t="str">
        <f t="shared" si="2"/>
        <v>No Match</v>
      </c>
    </row>
    <row r="161" spans="1:15"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O161" s="43" t="str">
        <f t="shared" si="2"/>
        <v>No Match</v>
      </c>
    </row>
    <row r="162" spans="1:15"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O162" s="43" t="str">
        <f t="shared" si="2"/>
        <v>No Match</v>
      </c>
    </row>
    <row r="163" spans="1:15"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O163" s="43" t="str">
        <f t="shared" si="2"/>
        <v>No Match</v>
      </c>
    </row>
    <row r="164" spans="1:15"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O164" s="43" t="str">
        <f t="shared" si="2"/>
        <v>No Match</v>
      </c>
    </row>
    <row r="165" spans="1:15"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O165" s="43" t="str">
        <f t="shared" si="2"/>
        <v>No Match</v>
      </c>
    </row>
    <row r="166" spans="1:15"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O166" s="43" t="str">
        <f t="shared" si="2"/>
        <v>No Match</v>
      </c>
    </row>
    <row r="167" spans="1:15"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O167" s="43" t="str">
        <f t="shared" si="2"/>
        <v>No Match</v>
      </c>
    </row>
    <row r="168" spans="1:15"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O168" s="43" t="str">
        <f t="shared" si="2"/>
        <v>No Match</v>
      </c>
    </row>
    <row r="169" spans="1:15"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O169" s="43" t="str">
        <f t="shared" si="2"/>
        <v>No Match</v>
      </c>
    </row>
    <row r="170" spans="1:15"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O170" s="43" t="str">
        <f t="shared" si="2"/>
        <v>No Match</v>
      </c>
    </row>
    <row r="171" spans="1:15"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O171" s="43" t="str">
        <f t="shared" si="2"/>
        <v>No Match</v>
      </c>
    </row>
    <row r="172" spans="1:15"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O172" s="43" t="str">
        <f t="shared" si="2"/>
        <v>No Match</v>
      </c>
    </row>
    <row r="173" spans="1:15"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O173" s="43" t="str">
        <f t="shared" si="2"/>
        <v>No Match</v>
      </c>
    </row>
    <row r="174" spans="1:15"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O174" s="43" t="str">
        <f t="shared" si="2"/>
        <v>No Match</v>
      </c>
    </row>
    <row r="175" spans="1:15"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O175" s="43" t="str">
        <f t="shared" si="2"/>
        <v>No Match</v>
      </c>
    </row>
    <row r="176" spans="1:15"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O176" s="43" t="str">
        <f t="shared" si="2"/>
        <v>No Match</v>
      </c>
    </row>
    <row r="177" spans="1:15"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O177" s="43" t="str">
        <f t="shared" si="2"/>
        <v>No Match</v>
      </c>
    </row>
    <row r="178" spans="1:15"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O178" s="43" t="str">
        <f t="shared" si="2"/>
        <v>No Match</v>
      </c>
    </row>
    <row r="179" spans="1:15"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O179" s="43" t="str">
        <f t="shared" si="2"/>
        <v>No Match</v>
      </c>
    </row>
    <row r="180" spans="1:15"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O180" s="43" t="str">
        <f t="shared" si="2"/>
        <v>No Match</v>
      </c>
    </row>
    <row r="181" spans="1:15"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O181" s="43" t="str">
        <f t="shared" si="2"/>
        <v>No Match</v>
      </c>
    </row>
    <row r="182" spans="1:15"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O182" s="43" t="str">
        <f t="shared" si="2"/>
        <v>No Match</v>
      </c>
    </row>
    <row r="183" spans="1:15"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O183" s="43" t="str">
        <f t="shared" si="2"/>
        <v>No Match</v>
      </c>
    </row>
    <row r="184" spans="1:15"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O184" s="43" t="str">
        <f t="shared" si="2"/>
        <v>No Match</v>
      </c>
    </row>
    <row r="185" spans="1:15"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O185" s="43" t="str">
        <f t="shared" si="2"/>
        <v>No Match</v>
      </c>
    </row>
    <row r="186" spans="1:15"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O186" s="43" t="str">
        <f t="shared" si="2"/>
        <v>No Match</v>
      </c>
    </row>
    <row r="187" spans="1:15"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O187" s="43" t="str">
        <f t="shared" si="2"/>
        <v>No Match</v>
      </c>
    </row>
    <row r="188" spans="1:15"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O188" s="43" t="str">
        <f t="shared" si="2"/>
        <v>No Match</v>
      </c>
    </row>
    <row r="189" spans="1:15"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O189" s="43" t="str">
        <f t="shared" si="2"/>
        <v>No Match</v>
      </c>
    </row>
    <row r="190" spans="1:15"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O190" s="43" t="str">
        <f t="shared" si="2"/>
        <v>No Match</v>
      </c>
    </row>
    <row r="191" spans="1:15"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O191" s="43" t="str">
        <f t="shared" si="2"/>
        <v>No Match</v>
      </c>
    </row>
    <row r="192" spans="1:15"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O192" s="43" t="str">
        <f t="shared" si="2"/>
        <v>No Match</v>
      </c>
    </row>
    <row r="193" spans="1:15"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O193" s="43" t="str">
        <f t="shared" si="2"/>
        <v>No Match</v>
      </c>
    </row>
    <row r="194" spans="1:15"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O194" s="43" t="str">
        <f t="shared" si="2"/>
        <v>No Match</v>
      </c>
    </row>
    <row r="195" spans="1:15"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O195" s="43" t="str">
        <f t="shared" si="2"/>
        <v>No Match</v>
      </c>
    </row>
    <row r="196" spans="1:15"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O196" s="43" t="str">
        <f t="shared" ref="O196:O252" si="3">IF(ISNUMBER(MATCH(D195,$H$2:$H$252,0)),"Match","No Match")</f>
        <v>No Match</v>
      </c>
    </row>
    <row r="197" spans="1:15"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O197" s="43" t="str">
        <f t="shared" si="3"/>
        <v>No Match</v>
      </c>
    </row>
    <row r="198" spans="1:15"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O198" s="43" t="str">
        <f t="shared" si="3"/>
        <v>No Match</v>
      </c>
    </row>
    <row r="199" spans="1:15"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O199" s="43" t="str">
        <f t="shared" si="3"/>
        <v>No Match</v>
      </c>
    </row>
    <row r="200" spans="1:15"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O200" s="43" t="str">
        <f t="shared" si="3"/>
        <v>No Match</v>
      </c>
    </row>
    <row r="201" spans="1:15"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O201" s="43" t="str">
        <f t="shared" si="3"/>
        <v>No Match</v>
      </c>
    </row>
    <row r="202" spans="1:15"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O202" s="43" t="str">
        <f t="shared" si="3"/>
        <v>No Match</v>
      </c>
    </row>
    <row r="203" spans="1:15"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O203" s="43" t="str">
        <f t="shared" si="3"/>
        <v>No Match</v>
      </c>
    </row>
    <row r="204" spans="1:15"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O204" s="43" t="str">
        <f t="shared" si="3"/>
        <v>No Match</v>
      </c>
    </row>
    <row r="205" spans="1:15"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O205" s="43" t="str">
        <f t="shared" si="3"/>
        <v>No Match</v>
      </c>
    </row>
    <row r="206" spans="1:15"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O206" s="43" t="str">
        <f t="shared" si="3"/>
        <v>No Match</v>
      </c>
    </row>
    <row r="207" spans="1:15"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O207" s="43" t="str">
        <f t="shared" si="3"/>
        <v>No Match</v>
      </c>
    </row>
    <row r="208" spans="1:15"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O208" s="43" t="str">
        <f t="shared" si="3"/>
        <v>No Match</v>
      </c>
    </row>
    <row r="209" spans="1:15"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O209" s="43" t="str">
        <f t="shared" si="3"/>
        <v>No Match</v>
      </c>
    </row>
    <row r="210" spans="1:15"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O210" s="43" t="str">
        <f t="shared" si="3"/>
        <v>No Match</v>
      </c>
    </row>
    <row r="211" spans="1:15"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O211" s="43" t="str">
        <f t="shared" si="3"/>
        <v>No Match</v>
      </c>
    </row>
    <row r="212" spans="1:15"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O212" s="43" t="str">
        <f t="shared" si="3"/>
        <v>No Match</v>
      </c>
    </row>
    <row r="213" spans="1:15"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O213" s="43" t="str">
        <f t="shared" si="3"/>
        <v>No Match</v>
      </c>
    </row>
    <row r="214" spans="1:15"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O214" s="43" t="str">
        <f t="shared" si="3"/>
        <v>No Match</v>
      </c>
    </row>
    <row r="215" spans="1:15"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O215" s="43" t="str">
        <f t="shared" si="3"/>
        <v>No Match</v>
      </c>
    </row>
    <row r="216" spans="1:15"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O216" s="43" t="str">
        <f t="shared" si="3"/>
        <v>No Match</v>
      </c>
    </row>
    <row r="217" spans="1:15"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O217" s="43" t="str">
        <f t="shared" si="3"/>
        <v>No Match</v>
      </c>
    </row>
    <row r="218" spans="1:15"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O218" s="43" t="str">
        <f t="shared" si="3"/>
        <v>No Match</v>
      </c>
    </row>
    <row r="219" spans="1:15"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O219" s="43" t="str">
        <f t="shared" si="3"/>
        <v>No Match</v>
      </c>
    </row>
    <row r="220" spans="1:15"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O220" s="43" t="str">
        <f t="shared" si="3"/>
        <v>No Match</v>
      </c>
    </row>
    <row r="221" spans="1:15"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O221" s="43" t="str">
        <f t="shared" si="3"/>
        <v>No Match</v>
      </c>
    </row>
    <row r="222" spans="1:15"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O222" s="43" t="str">
        <f t="shared" si="3"/>
        <v>No Match</v>
      </c>
    </row>
    <row r="223" spans="1:15"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O223" s="43" t="str">
        <f t="shared" si="3"/>
        <v>No Match</v>
      </c>
    </row>
    <row r="224" spans="1:15"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O224" s="43" t="str">
        <f t="shared" si="3"/>
        <v>No Match</v>
      </c>
    </row>
    <row r="225" spans="1:15"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O225" s="43" t="str">
        <f t="shared" si="3"/>
        <v>No Match</v>
      </c>
    </row>
    <row r="226" spans="1:15"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O226" s="43" t="str">
        <f t="shared" si="3"/>
        <v>No Match</v>
      </c>
    </row>
    <row r="227" spans="1:15"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O227" s="43" t="str">
        <f t="shared" si="3"/>
        <v>No Match</v>
      </c>
    </row>
    <row r="228" spans="1:15"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O228" s="43" t="str">
        <f t="shared" si="3"/>
        <v>No Match</v>
      </c>
    </row>
    <row r="229" spans="1:15"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O229" s="43" t="str">
        <f t="shared" si="3"/>
        <v>No Match</v>
      </c>
    </row>
    <row r="230" spans="1:15"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O230" s="43" t="str">
        <f t="shared" si="3"/>
        <v>No Match</v>
      </c>
    </row>
    <row r="231" spans="1:15"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O231" s="43" t="str">
        <f t="shared" si="3"/>
        <v>No Match</v>
      </c>
    </row>
    <row r="232" spans="1:15"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O232" s="43" t="str">
        <f t="shared" si="3"/>
        <v>No Match</v>
      </c>
    </row>
    <row r="233" spans="1:15"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O233" s="43" t="str">
        <f t="shared" si="3"/>
        <v>No Match</v>
      </c>
    </row>
    <row r="234" spans="1:15"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O234" s="43" t="str">
        <f t="shared" si="3"/>
        <v>No Match</v>
      </c>
    </row>
    <row r="235" spans="1:15"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O235" s="43" t="str">
        <f t="shared" si="3"/>
        <v>No Match</v>
      </c>
    </row>
    <row r="236" spans="1:15"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O236" s="43" t="str">
        <f t="shared" si="3"/>
        <v>No Match</v>
      </c>
    </row>
    <row r="237" spans="1:15"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O237" s="43" t="str">
        <f t="shared" si="3"/>
        <v>No Match</v>
      </c>
    </row>
    <row r="238" spans="1:15"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O238" s="43" t="str">
        <f t="shared" si="3"/>
        <v>No Match</v>
      </c>
    </row>
    <row r="239" spans="1:15"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O239" s="43" t="str">
        <f t="shared" si="3"/>
        <v>No Match</v>
      </c>
    </row>
    <row r="240" spans="1:15"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O240" s="43" t="str">
        <f t="shared" si="3"/>
        <v>No Match</v>
      </c>
    </row>
    <row r="241" spans="1:15"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O241" s="43" t="str">
        <f t="shared" si="3"/>
        <v>No Match</v>
      </c>
    </row>
    <row r="242" spans="1:15"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O242" s="43" t="str">
        <f t="shared" si="3"/>
        <v>No Match</v>
      </c>
    </row>
    <row r="243" spans="1:15"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O243" s="43" t="str">
        <f t="shared" si="3"/>
        <v>No Match</v>
      </c>
    </row>
    <row r="244" spans="1:15"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O244" s="43" t="str">
        <f t="shared" si="3"/>
        <v>No Match</v>
      </c>
    </row>
    <row r="245" spans="1:15"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O245" s="43" t="str">
        <f t="shared" si="3"/>
        <v>No Match</v>
      </c>
    </row>
    <row r="246" spans="1:15"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O246" s="43" t="str">
        <f t="shared" si="3"/>
        <v>No Match</v>
      </c>
    </row>
    <row r="247" spans="1:15"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O247" s="43" t="str">
        <f t="shared" si="3"/>
        <v>No Match</v>
      </c>
    </row>
    <row r="248" spans="1:15"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O248" s="43" t="str">
        <f t="shared" si="3"/>
        <v>No Match</v>
      </c>
    </row>
    <row r="249" spans="1:15"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O249" s="43" t="str">
        <f t="shared" si="3"/>
        <v>No Match</v>
      </c>
    </row>
    <row r="250" spans="1:15"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O250" s="43" t="str">
        <f t="shared" si="3"/>
        <v>No Match</v>
      </c>
    </row>
    <row r="251" spans="1:15"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O251" s="43" t="str">
        <f t="shared" si="3"/>
        <v>No Match</v>
      </c>
    </row>
    <row r="252" spans="1:15"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O252" s="43" t="str">
        <f t="shared" si="3"/>
        <v>No Match</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C16F-171B-436D-B9FF-E880B9B9E0E7}">
  <dimension ref="A1:P252"/>
  <sheetViews>
    <sheetView workbookViewId="0">
      <selection activeCell="Q2" sqref="Q2"/>
    </sheetView>
  </sheetViews>
  <sheetFormatPr defaultRowHeight="14.4"/>
  <cols>
    <col min="2" max="2" width="10.33203125" bestFit="1" customWidth="1"/>
    <col min="13" max="13" width="10.33203125" bestFit="1" customWidth="1"/>
  </cols>
  <sheetData>
    <row r="1" spans="1:16" ht="15" thickBot="1">
      <c r="A1" t="s">
        <v>457</v>
      </c>
    </row>
    <row r="2" spans="1:16" ht="43.8" thickBot="1">
      <c r="A2" s="2" t="s">
        <v>0</v>
      </c>
      <c r="B2" s="2" t="s">
        <v>1</v>
      </c>
      <c r="C2" s="2" t="s">
        <v>2</v>
      </c>
      <c r="D2" s="2" t="s">
        <v>3</v>
      </c>
      <c r="E2" s="2" t="s">
        <v>4</v>
      </c>
      <c r="F2" s="2" t="s">
        <v>5</v>
      </c>
      <c r="G2" s="2" t="s">
        <v>6</v>
      </c>
      <c r="H2" s="2" t="s">
        <v>7</v>
      </c>
      <c r="I2" s="2" t="s">
        <v>8</v>
      </c>
      <c r="J2" s="2" t="s">
        <v>9</v>
      </c>
      <c r="K2" s="2" t="s">
        <v>10</v>
      </c>
      <c r="L2" s="2" t="s">
        <v>11</v>
      </c>
      <c r="M2" s="2" t="s">
        <v>12</v>
      </c>
      <c r="N2" s="2" t="s">
        <v>13</v>
      </c>
      <c r="O2" s="13" t="s">
        <v>458</v>
      </c>
      <c r="P2" s="13" t="s">
        <v>459</v>
      </c>
    </row>
    <row r="3" spans="1:16" ht="29.4" thickBot="1">
      <c r="A3" s="1" t="s">
        <v>14</v>
      </c>
      <c r="B3" s="4">
        <v>45393</v>
      </c>
      <c r="C3" s="1" t="s">
        <v>15</v>
      </c>
      <c r="D3" s="1" t="s">
        <v>16</v>
      </c>
      <c r="E3" s="1" t="s">
        <v>17</v>
      </c>
      <c r="F3" s="1" t="s">
        <v>18</v>
      </c>
      <c r="G3" s="1" t="s">
        <v>19</v>
      </c>
      <c r="H3" s="5">
        <v>3</v>
      </c>
      <c r="I3" s="5">
        <v>249.99</v>
      </c>
      <c r="J3" s="1" t="s">
        <v>20</v>
      </c>
      <c r="K3" s="1" t="s">
        <v>21</v>
      </c>
      <c r="L3" s="1" t="s">
        <v>22</v>
      </c>
      <c r="M3" s="4">
        <v>44425</v>
      </c>
      <c r="N3" s="5">
        <v>749.97</v>
      </c>
      <c r="O3" t="str">
        <f>UPPER(LEFT(F2,3))</f>
        <v>PRO</v>
      </c>
      <c r="P3" t="str">
        <f>LOWER(LEFT(F2,3))</f>
        <v>pro</v>
      </c>
    </row>
    <row r="4" spans="1:16" ht="29.4" thickBot="1">
      <c r="A4" s="1" t="s">
        <v>23</v>
      </c>
      <c r="B4" s="4">
        <v>45396</v>
      </c>
      <c r="C4" s="1" t="s">
        <v>24</v>
      </c>
      <c r="D4" s="1" t="s">
        <v>25</v>
      </c>
      <c r="E4" s="1" t="s">
        <v>17</v>
      </c>
      <c r="F4" s="1" t="s">
        <v>18</v>
      </c>
      <c r="G4" s="1" t="s">
        <v>19</v>
      </c>
      <c r="H4" s="5">
        <v>3</v>
      </c>
      <c r="I4" s="5">
        <v>249.99</v>
      </c>
      <c r="J4" s="1" t="s">
        <v>26</v>
      </c>
      <c r="K4" s="1" t="s">
        <v>21</v>
      </c>
      <c r="L4" s="1" t="s">
        <v>27</v>
      </c>
      <c r="M4" s="4">
        <v>44575</v>
      </c>
      <c r="N4" s="5">
        <v>749.97</v>
      </c>
      <c r="O4" t="str">
        <f t="shared" ref="O4:O67" si="0">UPPER(LEFT(F3,3))</f>
        <v>MON</v>
      </c>
      <c r="P4" t="str">
        <f t="shared" ref="P4:P67" si="1">LOWER(LEFT(F3,3))</f>
        <v>mon</v>
      </c>
    </row>
    <row r="5" spans="1:16" ht="29.4" thickBot="1">
      <c r="A5" s="1" t="s">
        <v>28</v>
      </c>
      <c r="B5" s="4">
        <v>45399</v>
      </c>
      <c r="C5" s="1" t="s">
        <v>29</v>
      </c>
      <c r="D5" s="1" t="s">
        <v>30</v>
      </c>
      <c r="E5" s="1" t="s">
        <v>31</v>
      </c>
      <c r="F5" s="1" t="s">
        <v>32</v>
      </c>
      <c r="G5" s="1" t="s">
        <v>33</v>
      </c>
      <c r="H5" s="5">
        <v>3</v>
      </c>
      <c r="I5" s="5">
        <v>59.99</v>
      </c>
      <c r="J5" s="1" t="s">
        <v>34</v>
      </c>
      <c r="K5" s="1" t="s">
        <v>35</v>
      </c>
      <c r="L5" s="1" t="s">
        <v>36</v>
      </c>
      <c r="M5" s="4">
        <v>45262</v>
      </c>
      <c r="N5" s="5">
        <v>179.97</v>
      </c>
      <c r="O5" t="str">
        <f t="shared" si="0"/>
        <v>MON</v>
      </c>
      <c r="P5" t="str">
        <f t="shared" si="1"/>
        <v>mon</v>
      </c>
    </row>
    <row r="6" spans="1:16" ht="29.4" thickBot="1">
      <c r="A6" s="1" t="s">
        <v>37</v>
      </c>
      <c r="B6" s="4">
        <v>45400</v>
      </c>
      <c r="C6" s="1" t="s">
        <v>38</v>
      </c>
      <c r="D6" s="1" t="s">
        <v>39</v>
      </c>
      <c r="E6" s="1" t="s">
        <v>31</v>
      </c>
      <c r="F6" s="1" t="s">
        <v>32</v>
      </c>
      <c r="G6" s="1" t="s">
        <v>33</v>
      </c>
      <c r="H6" s="5">
        <v>3</v>
      </c>
      <c r="I6" s="5">
        <v>59.99</v>
      </c>
      <c r="J6" s="1" t="s">
        <v>20</v>
      </c>
      <c r="K6" s="1" t="s">
        <v>40</v>
      </c>
      <c r="L6" s="1" t="s">
        <v>27</v>
      </c>
      <c r="M6" s="4">
        <v>45114</v>
      </c>
      <c r="N6" s="5">
        <v>179.97</v>
      </c>
      <c r="O6" t="str">
        <f t="shared" si="0"/>
        <v>BLE</v>
      </c>
      <c r="P6" t="str">
        <f t="shared" si="1"/>
        <v>ble</v>
      </c>
    </row>
    <row r="7" spans="1:16" ht="29.4" thickBot="1">
      <c r="A7" s="1" t="s">
        <v>41</v>
      </c>
      <c r="B7" s="4">
        <v>45400</v>
      </c>
      <c r="C7" s="1" t="s">
        <v>42</v>
      </c>
      <c r="D7" s="1" t="s">
        <v>43</v>
      </c>
      <c r="E7" s="1" t="s">
        <v>44</v>
      </c>
      <c r="F7" s="1" t="s">
        <v>45</v>
      </c>
      <c r="G7" s="1" t="s">
        <v>46</v>
      </c>
      <c r="H7" s="5">
        <v>5</v>
      </c>
      <c r="I7" s="5">
        <v>149.99</v>
      </c>
      <c r="J7" s="1" t="s">
        <v>26</v>
      </c>
      <c r="K7" s="1" t="s">
        <v>40</v>
      </c>
      <c r="L7" s="1" t="s">
        <v>27</v>
      </c>
      <c r="M7" s="4">
        <v>45295</v>
      </c>
      <c r="N7" s="5">
        <v>749.95</v>
      </c>
      <c r="O7" t="str">
        <f t="shared" si="0"/>
        <v>BLE</v>
      </c>
      <c r="P7" t="str">
        <f t="shared" si="1"/>
        <v>ble</v>
      </c>
    </row>
    <row r="8" spans="1:16" ht="29.4" thickBot="1">
      <c r="A8" s="1" t="s">
        <v>47</v>
      </c>
      <c r="B8" s="4">
        <v>45403</v>
      </c>
      <c r="C8" s="1" t="s">
        <v>48</v>
      </c>
      <c r="D8" s="1" t="s">
        <v>49</v>
      </c>
      <c r="E8" s="1" t="s">
        <v>31</v>
      </c>
      <c r="F8" s="1" t="s">
        <v>32</v>
      </c>
      <c r="G8" s="1" t="s">
        <v>33</v>
      </c>
      <c r="H8" s="5">
        <v>2</v>
      </c>
      <c r="I8" s="5">
        <v>59.99</v>
      </c>
      <c r="J8" s="1" t="s">
        <v>20</v>
      </c>
      <c r="K8" s="1" t="s">
        <v>50</v>
      </c>
      <c r="L8" s="1" t="s">
        <v>36</v>
      </c>
      <c r="M8" s="4">
        <v>44746</v>
      </c>
      <c r="N8" s="5">
        <v>119.98</v>
      </c>
      <c r="O8" t="str">
        <f t="shared" si="0"/>
        <v>BOO</v>
      </c>
      <c r="P8" t="str">
        <f t="shared" si="1"/>
        <v>boo</v>
      </c>
    </row>
    <row r="9" spans="1:16" ht="29.4" thickBot="1">
      <c r="A9" s="1" t="s">
        <v>51</v>
      </c>
      <c r="B9" s="4">
        <v>45403</v>
      </c>
      <c r="C9" s="1" t="s">
        <v>48</v>
      </c>
      <c r="D9" s="1" t="s">
        <v>49</v>
      </c>
      <c r="E9" s="1" t="s">
        <v>52</v>
      </c>
      <c r="F9" s="1" t="s">
        <v>53</v>
      </c>
      <c r="G9" s="1" t="s">
        <v>19</v>
      </c>
      <c r="H9" s="5">
        <v>5</v>
      </c>
      <c r="I9" s="5">
        <v>149.99</v>
      </c>
      <c r="J9" s="1" t="s">
        <v>26</v>
      </c>
      <c r="K9" s="1" t="s">
        <v>21</v>
      </c>
      <c r="L9" s="1" t="s">
        <v>36</v>
      </c>
      <c r="M9" s="4">
        <v>44418</v>
      </c>
      <c r="N9" s="5">
        <v>749.95</v>
      </c>
      <c r="O9" t="str">
        <f t="shared" si="0"/>
        <v>BLE</v>
      </c>
      <c r="P9" t="str">
        <f t="shared" si="1"/>
        <v>ble</v>
      </c>
    </row>
    <row r="10" spans="1:16" ht="29.4" thickBot="1">
      <c r="A10" s="1" t="s">
        <v>54</v>
      </c>
      <c r="B10" s="4">
        <v>45403</v>
      </c>
      <c r="C10" s="1" t="s">
        <v>55</v>
      </c>
      <c r="D10" s="1" t="s">
        <v>56</v>
      </c>
      <c r="E10" s="1" t="s">
        <v>31</v>
      </c>
      <c r="F10" s="1" t="s">
        <v>32</v>
      </c>
      <c r="G10" s="1" t="s">
        <v>33</v>
      </c>
      <c r="H10" s="5">
        <v>3</v>
      </c>
      <c r="I10" s="5">
        <v>59.99</v>
      </c>
      <c r="J10" s="1" t="s">
        <v>57</v>
      </c>
      <c r="K10" s="1" t="s">
        <v>35</v>
      </c>
      <c r="L10" s="1" t="s">
        <v>22</v>
      </c>
      <c r="M10" s="4">
        <v>45007</v>
      </c>
      <c r="N10" s="5">
        <v>179.97</v>
      </c>
      <c r="O10" t="str">
        <f t="shared" si="0"/>
        <v>HEA</v>
      </c>
      <c r="P10" t="str">
        <f t="shared" si="1"/>
        <v>hea</v>
      </c>
    </row>
    <row r="11" spans="1:16" ht="29.4" thickBot="1">
      <c r="A11" s="1" t="s">
        <v>58</v>
      </c>
      <c r="B11" s="4">
        <v>45405</v>
      </c>
      <c r="C11" s="1" t="s">
        <v>59</v>
      </c>
      <c r="D11" s="1" t="s">
        <v>60</v>
      </c>
      <c r="E11" s="1" t="s">
        <v>61</v>
      </c>
      <c r="F11" s="1" t="s">
        <v>62</v>
      </c>
      <c r="G11" s="1" t="s">
        <v>19</v>
      </c>
      <c r="H11" s="5">
        <v>3</v>
      </c>
      <c r="I11" s="5">
        <v>899.99</v>
      </c>
      <c r="J11" s="1" t="s">
        <v>34</v>
      </c>
      <c r="K11" s="1" t="s">
        <v>63</v>
      </c>
      <c r="L11" s="1" t="s">
        <v>36</v>
      </c>
      <c r="M11" s="4">
        <v>45299</v>
      </c>
      <c r="N11" s="5">
        <v>2699.97</v>
      </c>
      <c r="O11" t="str">
        <f t="shared" si="0"/>
        <v>BLE</v>
      </c>
      <c r="P11" t="str">
        <f t="shared" si="1"/>
        <v>ble</v>
      </c>
    </row>
    <row r="12" spans="1:16" ht="29.4" thickBot="1">
      <c r="A12" s="1" t="s">
        <v>64</v>
      </c>
      <c r="B12" s="4">
        <v>45408</v>
      </c>
      <c r="C12" s="1" t="s">
        <v>65</v>
      </c>
      <c r="D12" s="1" t="s">
        <v>66</v>
      </c>
      <c r="E12" s="1" t="s">
        <v>31</v>
      </c>
      <c r="F12" s="1" t="s">
        <v>32</v>
      </c>
      <c r="G12" s="1" t="s">
        <v>33</v>
      </c>
      <c r="H12" s="5">
        <v>3</v>
      </c>
      <c r="I12" s="5">
        <v>59.99</v>
      </c>
      <c r="J12" s="1" t="s">
        <v>20</v>
      </c>
      <c r="K12" s="1" t="s">
        <v>50</v>
      </c>
      <c r="L12" s="1" t="s">
        <v>27</v>
      </c>
      <c r="M12" s="4">
        <v>45207</v>
      </c>
      <c r="N12" s="5">
        <v>179.97</v>
      </c>
      <c r="O12" t="str">
        <f t="shared" si="0"/>
        <v>LAP</v>
      </c>
      <c r="P12" t="str">
        <f t="shared" si="1"/>
        <v>lap</v>
      </c>
    </row>
    <row r="13" spans="1:16" ht="29.4" thickBot="1">
      <c r="A13" s="1" t="s">
        <v>67</v>
      </c>
      <c r="B13" s="4">
        <v>45408</v>
      </c>
      <c r="C13" s="1" t="s">
        <v>68</v>
      </c>
      <c r="D13" s="1" t="s">
        <v>69</v>
      </c>
      <c r="E13" s="1" t="s">
        <v>44</v>
      </c>
      <c r="F13" s="1" t="s">
        <v>45</v>
      </c>
      <c r="G13" s="1" t="s">
        <v>46</v>
      </c>
      <c r="H13" s="5">
        <v>1</v>
      </c>
      <c r="I13" s="5">
        <v>149.99</v>
      </c>
      <c r="J13" s="1" t="s">
        <v>26</v>
      </c>
      <c r="K13" s="1" t="s">
        <v>50</v>
      </c>
      <c r="L13" s="1" t="s">
        <v>36</v>
      </c>
      <c r="M13" s="4">
        <v>45103</v>
      </c>
      <c r="N13" s="5">
        <v>149.99</v>
      </c>
      <c r="O13" t="str">
        <f t="shared" si="0"/>
        <v>BLE</v>
      </c>
      <c r="P13" t="str">
        <f t="shared" si="1"/>
        <v>ble</v>
      </c>
    </row>
    <row r="14" spans="1:16" ht="29.4" thickBot="1">
      <c r="A14" s="1" t="s">
        <v>70</v>
      </c>
      <c r="B14" s="4">
        <v>45408</v>
      </c>
      <c r="C14" s="1" t="s">
        <v>38</v>
      </c>
      <c r="D14" s="1" t="s">
        <v>39</v>
      </c>
      <c r="E14" s="1" t="s">
        <v>44</v>
      </c>
      <c r="F14" s="1" t="s">
        <v>45</v>
      </c>
      <c r="G14" s="1" t="s">
        <v>46</v>
      </c>
      <c r="H14" s="5">
        <v>5</v>
      </c>
      <c r="I14" s="5">
        <v>149.99</v>
      </c>
      <c r="J14" s="1" t="s">
        <v>57</v>
      </c>
      <c r="K14" s="1" t="s">
        <v>40</v>
      </c>
      <c r="L14" s="1" t="s">
        <v>22</v>
      </c>
      <c r="M14" s="4">
        <v>44830</v>
      </c>
      <c r="N14" s="5">
        <v>749.95</v>
      </c>
      <c r="O14" t="str">
        <f t="shared" si="0"/>
        <v>BOO</v>
      </c>
      <c r="P14" t="str">
        <f t="shared" si="1"/>
        <v>boo</v>
      </c>
    </row>
    <row r="15" spans="1:16" ht="43.8" thickBot="1">
      <c r="A15" s="1" t="s">
        <v>71</v>
      </c>
      <c r="B15" s="4">
        <v>45408</v>
      </c>
      <c r="C15" s="1" t="s">
        <v>72</v>
      </c>
      <c r="D15" s="1" t="s">
        <v>73</v>
      </c>
      <c r="E15" s="1" t="s">
        <v>44</v>
      </c>
      <c r="F15" s="1" t="s">
        <v>45</v>
      </c>
      <c r="G15" s="1" t="s">
        <v>46</v>
      </c>
      <c r="H15" s="5">
        <v>3</v>
      </c>
      <c r="I15" s="5">
        <v>149.99</v>
      </c>
      <c r="J15" s="1" t="s">
        <v>20</v>
      </c>
      <c r="K15" s="1" t="s">
        <v>40</v>
      </c>
      <c r="L15" s="1" t="s">
        <v>27</v>
      </c>
      <c r="M15" s="4">
        <v>44806</v>
      </c>
      <c r="N15" s="5">
        <v>449.97</v>
      </c>
      <c r="O15" t="str">
        <f t="shared" si="0"/>
        <v>BOO</v>
      </c>
      <c r="P15" t="str">
        <f t="shared" si="1"/>
        <v>boo</v>
      </c>
    </row>
    <row r="16" spans="1:16" ht="29.4" thickBot="1">
      <c r="A16" s="1" t="s">
        <v>74</v>
      </c>
      <c r="B16" s="4">
        <v>45409</v>
      </c>
      <c r="C16" s="1" t="s">
        <v>75</v>
      </c>
      <c r="D16" s="1" t="s">
        <v>76</v>
      </c>
      <c r="E16" s="1" t="s">
        <v>31</v>
      </c>
      <c r="F16" s="1" t="s">
        <v>32</v>
      </c>
      <c r="G16" s="1" t="s">
        <v>33</v>
      </c>
      <c r="H16" s="5">
        <v>3</v>
      </c>
      <c r="I16" s="5">
        <v>59.99</v>
      </c>
      <c r="J16" s="1" t="s">
        <v>26</v>
      </c>
      <c r="K16" s="1" t="s">
        <v>40</v>
      </c>
      <c r="L16" s="1" t="s">
        <v>36</v>
      </c>
      <c r="M16" s="4">
        <v>45351</v>
      </c>
      <c r="N16" s="5">
        <v>179.97</v>
      </c>
      <c r="O16" t="str">
        <f t="shared" si="0"/>
        <v>BOO</v>
      </c>
      <c r="P16" t="str">
        <f t="shared" si="1"/>
        <v>boo</v>
      </c>
    </row>
    <row r="17" spans="1:16" ht="29.4" thickBot="1">
      <c r="A17" s="1" t="s">
        <v>77</v>
      </c>
      <c r="B17" s="4">
        <v>45409</v>
      </c>
      <c r="C17" s="1" t="s">
        <v>78</v>
      </c>
      <c r="D17" s="1" t="s">
        <v>79</v>
      </c>
      <c r="E17" s="1" t="s">
        <v>80</v>
      </c>
      <c r="F17" s="1" t="s">
        <v>81</v>
      </c>
      <c r="G17" s="1" t="s">
        <v>19</v>
      </c>
      <c r="H17" s="5">
        <v>3</v>
      </c>
      <c r="I17" s="5">
        <v>699.99</v>
      </c>
      <c r="J17" s="1" t="s">
        <v>26</v>
      </c>
      <c r="K17" s="1" t="s">
        <v>50</v>
      </c>
      <c r="L17" s="1" t="s">
        <v>22</v>
      </c>
      <c r="M17" s="4">
        <v>44577</v>
      </c>
      <c r="N17" s="5">
        <v>2099.9699999999998</v>
      </c>
      <c r="O17" t="str">
        <f t="shared" si="0"/>
        <v>BLE</v>
      </c>
      <c r="P17" t="str">
        <f t="shared" si="1"/>
        <v>ble</v>
      </c>
    </row>
    <row r="18" spans="1:16" ht="29.4" thickBot="1">
      <c r="A18" s="1" t="s">
        <v>82</v>
      </c>
      <c r="B18" s="4">
        <v>45409</v>
      </c>
      <c r="C18" s="1" t="s">
        <v>83</v>
      </c>
      <c r="D18" s="1" t="s">
        <v>84</v>
      </c>
      <c r="E18" s="1" t="s">
        <v>61</v>
      </c>
      <c r="F18" s="1" t="s">
        <v>62</v>
      </c>
      <c r="G18" s="1" t="s">
        <v>19</v>
      </c>
      <c r="H18" s="5">
        <v>1</v>
      </c>
      <c r="I18" s="5">
        <v>899.99</v>
      </c>
      <c r="J18" s="1" t="s">
        <v>57</v>
      </c>
      <c r="K18" s="1" t="s">
        <v>40</v>
      </c>
      <c r="L18" s="1" t="s">
        <v>36</v>
      </c>
      <c r="M18" s="4">
        <v>44920</v>
      </c>
      <c r="N18" s="5">
        <v>899.99</v>
      </c>
      <c r="O18" t="str">
        <f t="shared" si="0"/>
        <v>SMA</v>
      </c>
      <c r="P18" t="str">
        <f t="shared" si="1"/>
        <v>sma</v>
      </c>
    </row>
    <row r="19" spans="1:16" ht="29.4" thickBot="1">
      <c r="A19" s="1" t="s">
        <v>85</v>
      </c>
      <c r="B19" s="4">
        <v>45410</v>
      </c>
      <c r="C19" s="1" t="s">
        <v>86</v>
      </c>
      <c r="D19" s="1" t="s">
        <v>87</v>
      </c>
      <c r="E19" s="1" t="s">
        <v>44</v>
      </c>
      <c r="F19" s="1" t="s">
        <v>45</v>
      </c>
      <c r="G19" s="1" t="s">
        <v>46</v>
      </c>
      <c r="H19" s="5">
        <v>4</v>
      </c>
      <c r="I19" s="5">
        <v>149.99</v>
      </c>
      <c r="J19" s="1" t="s">
        <v>57</v>
      </c>
      <c r="K19" s="1" t="s">
        <v>40</v>
      </c>
      <c r="L19" s="1" t="s">
        <v>27</v>
      </c>
      <c r="M19" s="4">
        <v>45374</v>
      </c>
      <c r="N19" s="5">
        <v>599.96</v>
      </c>
      <c r="O19" t="str">
        <f t="shared" si="0"/>
        <v>LAP</v>
      </c>
      <c r="P19" t="str">
        <f t="shared" si="1"/>
        <v>lap</v>
      </c>
    </row>
    <row r="20" spans="1:16" ht="29.4" thickBot="1">
      <c r="A20" s="1" t="s">
        <v>88</v>
      </c>
      <c r="B20" s="4">
        <v>45410</v>
      </c>
      <c r="C20" s="1" t="s">
        <v>89</v>
      </c>
      <c r="D20" s="1" t="s">
        <v>90</v>
      </c>
      <c r="E20" s="1" t="s">
        <v>80</v>
      </c>
      <c r="F20" s="1" t="s">
        <v>81</v>
      </c>
      <c r="G20" s="1" t="s">
        <v>19</v>
      </c>
      <c r="H20" s="5">
        <v>2</v>
      </c>
      <c r="I20" s="5">
        <v>699.99</v>
      </c>
      <c r="J20" s="1" t="s">
        <v>20</v>
      </c>
      <c r="K20" s="1" t="s">
        <v>40</v>
      </c>
      <c r="L20" s="1" t="s">
        <v>22</v>
      </c>
      <c r="M20" s="4">
        <v>44781</v>
      </c>
      <c r="N20" s="5">
        <v>1399.98</v>
      </c>
      <c r="O20" t="str">
        <f t="shared" si="0"/>
        <v>BOO</v>
      </c>
      <c r="P20" t="str">
        <f t="shared" si="1"/>
        <v>boo</v>
      </c>
    </row>
    <row r="21" spans="1:16" ht="29.4" thickBot="1">
      <c r="A21" s="1" t="s">
        <v>91</v>
      </c>
      <c r="B21" s="4">
        <v>45410</v>
      </c>
      <c r="C21" s="1" t="s">
        <v>86</v>
      </c>
      <c r="D21" s="1" t="s">
        <v>87</v>
      </c>
      <c r="E21" s="1" t="s">
        <v>61</v>
      </c>
      <c r="F21" s="1" t="s">
        <v>62</v>
      </c>
      <c r="G21" s="1" t="s">
        <v>19</v>
      </c>
      <c r="H21" s="5">
        <v>4</v>
      </c>
      <c r="I21" s="5">
        <v>899.99</v>
      </c>
      <c r="J21" s="1" t="s">
        <v>26</v>
      </c>
      <c r="K21" s="1" t="s">
        <v>50</v>
      </c>
      <c r="L21" s="1" t="s">
        <v>36</v>
      </c>
      <c r="M21" s="4">
        <v>45327</v>
      </c>
      <c r="N21" s="5">
        <v>3599.96</v>
      </c>
      <c r="O21" t="str">
        <f t="shared" si="0"/>
        <v>SMA</v>
      </c>
      <c r="P21" t="str">
        <f t="shared" si="1"/>
        <v>sma</v>
      </c>
    </row>
    <row r="22" spans="1:16" ht="29.4" thickBot="1">
      <c r="A22" s="1" t="s">
        <v>92</v>
      </c>
      <c r="B22" s="4">
        <v>45410</v>
      </c>
      <c r="C22" s="1" t="s">
        <v>93</v>
      </c>
      <c r="D22" s="1" t="s">
        <v>94</v>
      </c>
      <c r="E22" s="1" t="s">
        <v>17</v>
      </c>
      <c r="F22" s="1" t="s">
        <v>18</v>
      </c>
      <c r="G22" s="1" t="s">
        <v>19</v>
      </c>
      <c r="H22" s="5">
        <v>3</v>
      </c>
      <c r="I22" s="5">
        <v>249.99</v>
      </c>
      <c r="J22" s="1" t="s">
        <v>26</v>
      </c>
      <c r="K22" s="1" t="s">
        <v>40</v>
      </c>
      <c r="L22" s="1" t="s">
        <v>27</v>
      </c>
      <c r="M22" s="4">
        <v>45224</v>
      </c>
      <c r="N22" s="5">
        <v>749.97</v>
      </c>
      <c r="O22" t="str">
        <f t="shared" si="0"/>
        <v>LAP</v>
      </c>
      <c r="P22" t="str">
        <f t="shared" si="1"/>
        <v>lap</v>
      </c>
    </row>
    <row r="23" spans="1:16" ht="29.4" thickBot="1">
      <c r="A23" s="1" t="s">
        <v>95</v>
      </c>
      <c r="B23" s="4">
        <v>45412</v>
      </c>
      <c r="C23" s="1" t="s">
        <v>96</v>
      </c>
      <c r="D23" s="1" t="s">
        <v>97</v>
      </c>
      <c r="E23" s="1" t="s">
        <v>80</v>
      </c>
      <c r="F23" s="1" t="s">
        <v>81</v>
      </c>
      <c r="G23" s="1" t="s">
        <v>19</v>
      </c>
      <c r="H23" s="5">
        <v>5</v>
      </c>
      <c r="I23" s="5">
        <v>699.99</v>
      </c>
      <c r="J23" s="1" t="s">
        <v>20</v>
      </c>
      <c r="K23" s="1" t="s">
        <v>50</v>
      </c>
      <c r="L23" s="1" t="s">
        <v>22</v>
      </c>
      <c r="M23" s="4">
        <v>45167</v>
      </c>
      <c r="N23" s="5">
        <v>3499.95</v>
      </c>
      <c r="O23" t="str">
        <f t="shared" si="0"/>
        <v>MON</v>
      </c>
      <c r="P23" t="str">
        <f t="shared" si="1"/>
        <v>mon</v>
      </c>
    </row>
    <row r="24" spans="1:16" ht="29.4" thickBot="1">
      <c r="A24" s="1" t="s">
        <v>98</v>
      </c>
      <c r="B24" s="4">
        <v>45413</v>
      </c>
      <c r="C24" s="1" t="s">
        <v>99</v>
      </c>
      <c r="D24" s="1" t="s">
        <v>100</v>
      </c>
      <c r="E24" s="1" t="s">
        <v>80</v>
      </c>
      <c r="F24" s="1" t="s">
        <v>81</v>
      </c>
      <c r="G24" s="1" t="s">
        <v>19</v>
      </c>
      <c r="H24" s="5">
        <v>4</v>
      </c>
      <c r="I24" s="5">
        <v>699.99</v>
      </c>
      <c r="J24" s="1" t="s">
        <v>20</v>
      </c>
      <c r="K24" s="1" t="s">
        <v>63</v>
      </c>
      <c r="L24" s="1" t="s">
        <v>36</v>
      </c>
      <c r="M24" s="4">
        <v>44409</v>
      </c>
      <c r="N24" s="5">
        <v>2799.96</v>
      </c>
      <c r="O24" t="str">
        <f t="shared" si="0"/>
        <v>SMA</v>
      </c>
      <c r="P24" t="str">
        <f t="shared" si="1"/>
        <v>sma</v>
      </c>
    </row>
    <row r="25" spans="1:16" ht="29.4" thickBot="1">
      <c r="A25" s="1" t="s">
        <v>101</v>
      </c>
      <c r="B25" s="4">
        <v>45415</v>
      </c>
      <c r="C25" s="1" t="s">
        <v>102</v>
      </c>
      <c r="D25" s="1" t="s">
        <v>103</v>
      </c>
      <c r="E25" s="1" t="s">
        <v>17</v>
      </c>
      <c r="F25" s="1" t="s">
        <v>18</v>
      </c>
      <c r="G25" s="1" t="s">
        <v>19</v>
      </c>
      <c r="H25" s="5">
        <v>4</v>
      </c>
      <c r="I25" s="5">
        <v>249.99</v>
      </c>
      <c r="J25" s="1" t="s">
        <v>34</v>
      </c>
      <c r="K25" s="1" t="s">
        <v>40</v>
      </c>
      <c r="L25" s="1" t="s">
        <v>36</v>
      </c>
      <c r="M25" s="4">
        <v>44468</v>
      </c>
      <c r="N25" s="5">
        <v>999.96</v>
      </c>
      <c r="O25" t="str">
        <f t="shared" si="0"/>
        <v>SMA</v>
      </c>
      <c r="P25" t="str">
        <f t="shared" si="1"/>
        <v>sma</v>
      </c>
    </row>
    <row r="26" spans="1:16" ht="29.4" thickBot="1">
      <c r="A26" s="1" t="s">
        <v>104</v>
      </c>
      <c r="B26" s="4">
        <v>45416</v>
      </c>
      <c r="C26" s="1" t="s">
        <v>86</v>
      </c>
      <c r="D26" s="1" t="s">
        <v>87</v>
      </c>
      <c r="E26" s="1" t="s">
        <v>105</v>
      </c>
      <c r="F26" s="1" t="s">
        <v>106</v>
      </c>
      <c r="G26" s="1" t="s">
        <v>46</v>
      </c>
      <c r="H26" s="5">
        <v>4</v>
      </c>
      <c r="I26" s="5">
        <v>299.99</v>
      </c>
      <c r="J26" s="1" t="s">
        <v>20</v>
      </c>
      <c r="K26" s="1" t="s">
        <v>50</v>
      </c>
      <c r="L26" s="1" t="s">
        <v>27</v>
      </c>
      <c r="M26" s="4">
        <v>44716</v>
      </c>
      <c r="N26" s="5">
        <v>1199.96</v>
      </c>
      <c r="O26" t="str">
        <f t="shared" si="0"/>
        <v>MON</v>
      </c>
      <c r="P26" t="str">
        <f t="shared" si="1"/>
        <v>mon</v>
      </c>
    </row>
    <row r="27" spans="1:16" ht="29.4" thickBot="1">
      <c r="A27" s="1" t="s">
        <v>107</v>
      </c>
      <c r="B27" s="4">
        <v>45422</v>
      </c>
      <c r="C27" s="1" t="s">
        <v>108</v>
      </c>
      <c r="D27" s="1" t="s">
        <v>109</v>
      </c>
      <c r="E27" s="1" t="s">
        <v>17</v>
      </c>
      <c r="F27" s="1" t="s">
        <v>18</v>
      </c>
      <c r="G27" s="1" t="s">
        <v>19</v>
      </c>
      <c r="H27" s="5">
        <v>5</v>
      </c>
      <c r="I27" s="5">
        <v>249.99</v>
      </c>
      <c r="J27" s="1" t="s">
        <v>26</v>
      </c>
      <c r="K27" s="1" t="s">
        <v>50</v>
      </c>
      <c r="L27" s="1" t="s">
        <v>36</v>
      </c>
      <c r="M27" s="4">
        <v>44525</v>
      </c>
      <c r="N27" s="5">
        <v>1249.95</v>
      </c>
      <c r="O27" t="str">
        <f t="shared" si="0"/>
        <v>DES</v>
      </c>
      <c r="P27" t="str">
        <f t="shared" si="1"/>
        <v>des</v>
      </c>
    </row>
    <row r="28" spans="1:16" ht="29.4" thickBot="1">
      <c r="A28" s="1" t="s">
        <v>110</v>
      </c>
      <c r="B28" s="4">
        <v>45424</v>
      </c>
      <c r="C28" s="1" t="s">
        <v>68</v>
      </c>
      <c r="D28" s="1" t="s">
        <v>69</v>
      </c>
      <c r="E28" s="1" t="s">
        <v>105</v>
      </c>
      <c r="F28" s="1" t="s">
        <v>106</v>
      </c>
      <c r="G28" s="1" t="s">
        <v>46</v>
      </c>
      <c r="H28" s="5">
        <v>5</v>
      </c>
      <c r="I28" s="5">
        <v>299.99</v>
      </c>
      <c r="J28" s="1" t="s">
        <v>34</v>
      </c>
      <c r="K28" s="1" t="s">
        <v>63</v>
      </c>
      <c r="L28" s="1" t="s">
        <v>22</v>
      </c>
      <c r="M28" s="4">
        <v>45168</v>
      </c>
      <c r="N28" s="5">
        <v>1499.95</v>
      </c>
      <c r="O28" t="str">
        <f t="shared" si="0"/>
        <v>MON</v>
      </c>
      <c r="P28" t="str">
        <f t="shared" si="1"/>
        <v>mon</v>
      </c>
    </row>
    <row r="29" spans="1:16" ht="29.4" thickBot="1">
      <c r="A29" s="1" t="s">
        <v>111</v>
      </c>
      <c r="B29" s="4">
        <v>45424</v>
      </c>
      <c r="C29" s="1" t="s">
        <v>112</v>
      </c>
      <c r="D29" s="1" t="s">
        <v>113</v>
      </c>
      <c r="E29" s="1" t="s">
        <v>114</v>
      </c>
      <c r="F29" s="1" t="s">
        <v>115</v>
      </c>
      <c r="G29" s="1" t="s">
        <v>33</v>
      </c>
      <c r="H29" s="5">
        <v>3</v>
      </c>
      <c r="I29" s="5">
        <v>79.989999999999995</v>
      </c>
      <c r="J29" s="1" t="s">
        <v>34</v>
      </c>
      <c r="K29" s="1" t="s">
        <v>63</v>
      </c>
      <c r="L29" s="1" t="s">
        <v>27</v>
      </c>
      <c r="M29" s="4">
        <v>45012</v>
      </c>
      <c r="N29" s="5">
        <v>239.97</v>
      </c>
      <c r="O29" t="str">
        <f t="shared" si="0"/>
        <v>DES</v>
      </c>
      <c r="P29" t="str">
        <f t="shared" si="1"/>
        <v>des</v>
      </c>
    </row>
    <row r="30" spans="1:16" ht="29.4" thickBot="1">
      <c r="A30" s="1" t="s">
        <v>116</v>
      </c>
      <c r="B30" s="4">
        <v>45424</v>
      </c>
      <c r="C30" s="1" t="s">
        <v>99</v>
      </c>
      <c r="D30" s="1" t="s">
        <v>100</v>
      </c>
      <c r="E30" s="1" t="s">
        <v>117</v>
      </c>
      <c r="F30" s="1" t="s">
        <v>118</v>
      </c>
      <c r="G30" s="1" t="s">
        <v>19</v>
      </c>
      <c r="H30" s="5">
        <v>5</v>
      </c>
      <c r="I30" s="5">
        <v>89.99</v>
      </c>
      <c r="J30" s="1" t="s">
        <v>20</v>
      </c>
      <c r="K30" s="1" t="s">
        <v>40</v>
      </c>
      <c r="L30" s="1" t="s">
        <v>27</v>
      </c>
      <c r="M30" s="4">
        <v>44919</v>
      </c>
      <c r="N30" s="5">
        <v>449.95</v>
      </c>
      <c r="O30" t="str">
        <f t="shared" si="0"/>
        <v>COF</v>
      </c>
      <c r="P30" t="str">
        <f t="shared" si="1"/>
        <v>cof</v>
      </c>
    </row>
    <row r="31" spans="1:16" ht="29.4" thickBot="1">
      <c r="A31" s="1" t="s">
        <v>119</v>
      </c>
      <c r="B31" s="4">
        <v>45425</v>
      </c>
      <c r="C31" s="1" t="s">
        <v>120</v>
      </c>
      <c r="D31" s="1" t="s">
        <v>121</v>
      </c>
      <c r="E31" s="1" t="s">
        <v>31</v>
      </c>
      <c r="F31" s="1" t="s">
        <v>32</v>
      </c>
      <c r="G31" s="1" t="s">
        <v>33</v>
      </c>
      <c r="H31" s="5">
        <v>2</v>
      </c>
      <c r="I31" s="5">
        <v>59.99</v>
      </c>
      <c r="J31" s="1" t="s">
        <v>57</v>
      </c>
      <c r="K31" s="1" t="s">
        <v>21</v>
      </c>
      <c r="L31" s="1" t="s">
        <v>36</v>
      </c>
      <c r="M31" s="4">
        <v>45214</v>
      </c>
      <c r="N31" s="5">
        <v>119.98</v>
      </c>
      <c r="O31" t="str">
        <f t="shared" si="0"/>
        <v>KEY</v>
      </c>
      <c r="P31" t="str">
        <f t="shared" si="1"/>
        <v>key</v>
      </c>
    </row>
    <row r="32" spans="1:16" ht="29.4" thickBot="1">
      <c r="A32" s="1" t="s">
        <v>122</v>
      </c>
      <c r="B32" s="4">
        <v>45427</v>
      </c>
      <c r="C32" s="1" t="s">
        <v>123</v>
      </c>
      <c r="D32" s="1" t="s">
        <v>124</v>
      </c>
      <c r="E32" s="1" t="s">
        <v>31</v>
      </c>
      <c r="F32" s="1" t="s">
        <v>32</v>
      </c>
      <c r="G32" s="1" t="s">
        <v>33</v>
      </c>
      <c r="H32" s="5">
        <v>4</v>
      </c>
      <c r="I32" s="5">
        <v>59.99</v>
      </c>
      <c r="J32" s="1" t="s">
        <v>57</v>
      </c>
      <c r="K32" s="1" t="s">
        <v>63</v>
      </c>
      <c r="L32" s="1" t="s">
        <v>36</v>
      </c>
      <c r="M32" s="4">
        <v>44867</v>
      </c>
      <c r="N32" s="5">
        <v>239.96</v>
      </c>
      <c r="O32" t="str">
        <f t="shared" si="0"/>
        <v>BLE</v>
      </c>
      <c r="P32" t="str">
        <f t="shared" si="1"/>
        <v>ble</v>
      </c>
    </row>
    <row r="33" spans="1:16" ht="29.4" thickBot="1">
      <c r="A33" s="1" t="s">
        <v>125</v>
      </c>
      <c r="B33" s="4">
        <v>45427</v>
      </c>
      <c r="C33" s="1" t="s">
        <v>55</v>
      </c>
      <c r="D33" s="1" t="s">
        <v>56</v>
      </c>
      <c r="E33" s="1" t="s">
        <v>126</v>
      </c>
      <c r="F33" s="1" t="s">
        <v>127</v>
      </c>
      <c r="G33" s="1" t="s">
        <v>46</v>
      </c>
      <c r="H33" s="5">
        <v>5</v>
      </c>
      <c r="I33" s="5">
        <v>199.99</v>
      </c>
      <c r="J33" s="1" t="s">
        <v>20</v>
      </c>
      <c r="K33" s="1" t="s">
        <v>35</v>
      </c>
      <c r="L33" s="1" t="s">
        <v>36</v>
      </c>
      <c r="M33" s="4">
        <v>44412</v>
      </c>
      <c r="N33" s="5">
        <v>999.95</v>
      </c>
      <c r="O33" t="str">
        <f t="shared" si="0"/>
        <v>BLE</v>
      </c>
      <c r="P33" t="str">
        <f t="shared" si="1"/>
        <v>ble</v>
      </c>
    </row>
    <row r="34" spans="1:16" ht="29.4" thickBot="1">
      <c r="A34" s="1" t="s">
        <v>128</v>
      </c>
      <c r="B34" s="4">
        <v>45428</v>
      </c>
      <c r="C34" s="1" t="s">
        <v>129</v>
      </c>
      <c r="D34" s="1" t="s">
        <v>130</v>
      </c>
      <c r="E34" s="1" t="s">
        <v>44</v>
      </c>
      <c r="F34" s="1" t="s">
        <v>45</v>
      </c>
      <c r="G34" s="1" t="s">
        <v>46</v>
      </c>
      <c r="H34" s="5">
        <v>2</v>
      </c>
      <c r="I34" s="5">
        <v>149.99</v>
      </c>
      <c r="J34" s="1" t="s">
        <v>26</v>
      </c>
      <c r="K34" s="1" t="s">
        <v>50</v>
      </c>
      <c r="L34" s="1" t="s">
        <v>22</v>
      </c>
      <c r="M34" s="4">
        <v>44823</v>
      </c>
      <c r="N34" s="5">
        <v>299.98</v>
      </c>
      <c r="O34" t="str">
        <f t="shared" si="0"/>
        <v>OFF</v>
      </c>
      <c r="P34" t="str">
        <f t="shared" si="1"/>
        <v>off</v>
      </c>
    </row>
    <row r="35" spans="1:16" ht="29.4" thickBot="1">
      <c r="A35" s="1" t="s">
        <v>131</v>
      </c>
      <c r="B35" s="4">
        <v>45430</v>
      </c>
      <c r="C35" s="1" t="s">
        <v>132</v>
      </c>
      <c r="D35" s="1" t="s">
        <v>133</v>
      </c>
      <c r="E35" s="1" t="s">
        <v>44</v>
      </c>
      <c r="F35" s="1" t="s">
        <v>45</v>
      </c>
      <c r="G35" s="1" t="s">
        <v>46</v>
      </c>
      <c r="H35" s="5">
        <v>3</v>
      </c>
      <c r="I35" s="5">
        <v>149.99</v>
      </c>
      <c r="J35" s="1" t="s">
        <v>26</v>
      </c>
      <c r="K35" s="1" t="s">
        <v>50</v>
      </c>
      <c r="L35" s="1" t="s">
        <v>27</v>
      </c>
      <c r="M35" s="4">
        <v>45068</v>
      </c>
      <c r="N35" s="5">
        <v>449.97</v>
      </c>
      <c r="O35" t="str">
        <f t="shared" si="0"/>
        <v>BOO</v>
      </c>
      <c r="P35" t="str">
        <f t="shared" si="1"/>
        <v>boo</v>
      </c>
    </row>
    <row r="36" spans="1:16" ht="29.4" thickBot="1">
      <c r="A36" s="1" t="s">
        <v>134</v>
      </c>
      <c r="B36" s="4">
        <v>45432</v>
      </c>
      <c r="C36" s="1" t="s">
        <v>29</v>
      </c>
      <c r="D36" s="1" t="s">
        <v>30</v>
      </c>
      <c r="E36" s="1" t="s">
        <v>61</v>
      </c>
      <c r="F36" s="1" t="s">
        <v>62</v>
      </c>
      <c r="G36" s="1" t="s">
        <v>19</v>
      </c>
      <c r="H36" s="5">
        <v>1</v>
      </c>
      <c r="I36" s="5">
        <v>899.99</v>
      </c>
      <c r="J36" s="1" t="s">
        <v>26</v>
      </c>
      <c r="K36" s="1" t="s">
        <v>50</v>
      </c>
      <c r="L36" s="1" t="s">
        <v>27</v>
      </c>
      <c r="M36" s="4">
        <v>44578</v>
      </c>
      <c r="N36" s="5">
        <v>899.99</v>
      </c>
      <c r="O36" t="str">
        <f t="shared" si="0"/>
        <v>BOO</v>
      </c>
      <c r="P36" t="str">
        <f t="shared" si="1"/>
        <v>boo</v>
      </c>
    </row>
    <row r="37" spans="1:16" ht="29.4" thickBot="1">
      <c r="A37" s="1" t="s">
        <v>135</v>
      </c>
      <c r="B37" s="4">
        <v>45434</v>
      </c>
      <c r="C37" s="1" t="s">
        <v>99</v>
      </c>
      <c r="D37" s="1" t="s">
        <v>100</v>
      </c>
      <c r="E37" s="1" t="s">
        <v>105</v>
      </c>
      <c r="F37" s="1" t="s">
        <v>106</v>
      </c>
      <c r="G37" s="1" t="s">
        <v>46</v>
      </c>
      <c r="H37" s="5">
        <v>3</v>
      </c>
      <c r="I37" s="5">
        <v>299.99</v>
      </c>
      <c r="J37" s="1" t="s">
        <v>26</v>
      </c>
      <c r="K37" s="1" t="s">
        <v>63</v>
      </c>
      <c r="L37" s="1" t="s">
        <v>22</v>
      </c>
      <c r="M37" s="4">
        <v>44824</v>
      </c>
      <c r="N37" s="5">
        <v>899.97</v>
      </c>
      <c r="O37" t="str">
        <f t="shared" si="0"/>
        <v>LAP</v>
      </c>
      <c r="P37" t="str">
        <f t="shared" si="1"/>
        <v>lap</v>
      </c>
    </row>
    <row r="38" spans="1:16" ht="29.4" thickBot="1">
      <c r="A38" s="1" t="s">
        <v>136</v>
      </c>
      <c r="B38" s="4">
        <v>45435</v>
      </c>
      <c r="C38" s="1" t="s">
        <v>129</v>
      </c>
      <c r="D38" s="1" t="s">
        <v>130</v>
      </c>
      <c r="E38" s="1" t="s">
        <v>114</v>
      </c>
      <c r="F38" s="1" t="s">
        <v>115</v>
      </c>
      <c r="G38" s="1" t="s">
        <v>33</v>
      </c>
      <c r="H38" s="5">
        <v>3</v>
      </c>
      <c r="I38" s="5">
        <v>79.989999999999995</v>
      </c>
      <c r="J38" s="1" t="s">
        <v>20</v>
      </c>
      <c r="K38" s="1" t="s">
        <v>35</v>
      </c>
      <c r="L38" s="1" t="s">
        <v>22</v>
      </c>
      <c r="M38" s="4">
        <v>45046</v>
      </c>
      <c r="N38" s="5">
        <v>239.97</v>
      </c>
      <c r="O38" t="str">
        <f t="shared" si="0"/>
        <v>DES</v>
      </c>
      <c r="P38" t="str">
        <f t="shared" si="1"/>
        <v>des</v>
      </c>
    </row>
    <row r="39" spans="1:16" ht="29.4" thickBot="1">
      <c r="A39" s="1" t="s">
        <v>137</v>
      </c>
      <c r="B39" s="4">
        <v>45438</v>
      </c>
      <c r="C39" s="1" t="s">
        <v>138</v>
      </c>
      <c r="D39" s="1" t="s">
        <v>139</v>
      </c>
      <c r="E39" s="1" t="s">
        <v>126</v>
      </c>
      <c r="F39" s="1" t="s">
        <v>127</v>
      </c>
      <c r="G39" s="1" t="s">
        <v>46</v>
      </c>
      <c r="H39" s="5">
        <v>3</v>
      </c>
      <c r="I39" s="5">
        <v>199.99</v>
      </c>
      <c r="J39" s="1" t="s">
        <v>26</v>
      </c>
      <c r="K39" s="1" t="s">
        <v>40</v>
      </c>
      <c r="L39" s="1" t="s">
        <v>27</v>
      </c>
      <c r="M39" s="4">
        <v>45292</v>
      </c>
      <c r="N39" s="5">
        <v>599.97</v>
      </c>
      <c r="O39" t="str">
        <f t="shared" si="0"/>
        <v>COF</v>
      </c>
      <c r="P39" t="str">
        <f t="shared" si="1"/>
        <v>cof</v>
      </c>
    </row>
    <row r="40" spans="1:16" ht="29.4" thickBot="1">
      <c r="A40" s="1" t="s">
        <v>140</v>
      </c>
      <c r="B40" s="4">
        <v>45440</v>
      </c>
      <c r="C40" s="1" t="s">
        <v>141</v>
      </c>
      <c r="D40" s="1" t="s">
        <v>142</v>
      </c>
      <c r="E40" s="1" t="s">
        <v>80</v>
      </c>
      <c r="F40" s="1" t="s">
        <v>81</v>
      </c>
      <c r="G40" s="1" t="s">
        <v>19</v>
      </c>
      <c r="H40" s="5">
        <v>5</v>
      </c>
      <c r="I40" s="5">
        <v>699.99</v>
      </c>
      <c r="J40" s="1" t="s">
        <v>34</v>
      </c>
      <c r="K40" s="1" t="s">
        <v>50</v>
      </c>
      <c r="L40" s="1" t="s">
        <v>36</v>
      </c>
      <c r="M40" s="4">
        <v>44407</v>
      </c>
      <c r="N40" s="5">
        <v>3499.95</v>
      </c>
      <c r="O40" t="str">
        <f t="shared" si="0"/>
        <v>OFF</v>
      </c>
      <c r="P40" t="str">
        <f t="shared" si="1"/>
        <v>off</v>
      </c>
    </row>
    <row r="41" spans="1:16" ht="29.4" thickBot="1">
      <c r="A41" s="1" t="s">
        <v>143</v>
      </c>
      <c r="B41" s="4">
        <v>45441</v>
      </c>
      <c r="C41" s="1" t="s">
        <v>144</v>
      </c>
      <c r="D41" s="1" t="s">
        <v>145</v>
      </c>
      <c r="E41" s="1" t="s">
        <v>117</v>
      </c>
      <c r="F41" s="1" t="s">
        <v>118</v>
      </c>
      <c r="G41" s="1" t="s">
        <v>19</v>
      </c>
      <c r="H41" s="5">
        <v>3</v>
      </c>
      <c r="I41" s="5">
        <v>89.99</v>
      </c>
      <c r="J41" s="1" t="s">
        <v>34</v>
      </c>
      <c r="K41" s="1" t="s">
        <v>21</v>
      </c>
      <c r="L41" s="1" t="s">
        <v>27</v>
      </c>
      <c r="M41" s="4">
        <v>45120</v>
      </c>
      <c r="N41" s="5">
        <v>269.97000000000003</v>
      </c>
      <c r="O41" t="str">
        <f t="shared" si="0"/>
        <v>SMA</v>
      </c>
      <c r="P41" t="str">
        <f t="shared" si="1"/>
        <v>sma</v>
      </c>
    </row>
    <row r="42" spans="1:16" ht="29.4" thickBot="1">
      <c r="A42" s="1" t="s">
        <v>146</v>
      </c>
      <c r="B42" s="4">
        <v>45443</v>
      </c>
      <c r="C42" s="1" t="s">
        <v>147</v>
      </c>
      <c r="D42" s="1" t="s">
        <v>148</v>
      </c>
      <c r="E42" s="1" t="s">
        <v>114</v>
      </c>
      <c r="F42" s="1" t="s">
        <v>115</v>
      </c>
      <c r="G42" s="1" t="s">
        <v>33</v>
      </c>
      <c r="H42" s="5">
        <v>1</v>
      </c>
      <c r="I42" s="5">
        <v>79.989999999999995</v>
      </c>
      <c r="J42" s="1" t="s">
        <v>20</v>
      </c>
      <c r="K42" s="1" t="s">
        <v>40</v>
      </c>
      <c r="L42" s="1" t="s">
        <v>36</v>
      </c>
      <c r="M42" s="4">
        <v>44917</v>
      </c>
      <c r="N42" s="5">
        <v>79.989999999999995</v>
      </c>
      <c r="O42" t="str">
        <f t="shared" si="0"/>
        <v>KEY</v>
      </c>
      <c r="P42" t="str">
        <f t="shared" si="1"/>
        <v>key</v>
      </c>
    </row>
    <row r="43" spans="1:16" ht="29.4" thickBot="1">
      <c r="A43" s="1" t="s">
        <v>149</v>
      </c>
      <c r="B43" s="4">
        <v>45444</v>
      </c>
      <c r="C43" s="1" t="s">
        <v>150</v>
      </c>
      <c r="D43" s="1" t="s">
        <v>151</v>
      </c>
      <c r="E43" s="1" t="s">
        <v>31</v>
      </c>
      <c r="F43" s="1" t="s">
        <v>32</v>
      </c>
      <c r="G43" s="1" t="s">
        <v>33</v>
      </c>
      <c r="H43" s="5">
        <v>2</v>
      </c>
      <c r="I43" s="5">
        <v>59.99</v>
      </c>
      <c r="J43" s="1" t="s">
        <v>20</v>
      </c>
      <c r="K43" s="1" t="s">
        <v>50</v>
      </c>
      <c r="L43" s="1" t="s">
        <v>22</v>
      </c>
      <c r="M43" s="4">
        <v>45390</v>
      </c>
      <c r="N43" s="5">
        <v>119.98</v>
      </c>
      <c r="O43" t="str">
        <f t="shared" si="0"/>
        <v>COF</v>
      </c>
      <c r="P43" t="str">
        <f t="shared" si="1"/>
        <v>cof</v>
      </c>
    </row>
    <row r="44" spans="1:16" ht="29.4" thickBot="1">
      <c r="A44" s="1" t="s">
        <v>152</v>
      </c>
      <c r="B44" s="4">
        <v>45444</v>
      </c>
      <c r="C44" s="1" t="s">
        <v>55</v>
      </c>
      <c r="D44" s="1" t="s">
        <v>56</v>
      </c>
      <c r="E44" s="1" t="s">
        <v>117</v>
      </c>
      <c r="F44" s="1" t="s">
        <v>118</v>
      </c>
      <c r="G44" s="1" t="s">
        <v>19</v>
      </c>
      <c r="H44" s="5">
        <v>1</v>
      </c>
      <c r="I44" s="5">
        <v>89.99</v>
      </c>
      <c r="J44" s="1" t="s">
        <v>20</v>
      </c>
      <c r="K44" s="1" t="s">
        <v>40</v>
      </c>
      <c r="L44" s="1" t="s">
        <v>22</v>
      </c>
      <c r="M44" s="4">
        <v>45141</v>
      </c>
      <c r="N44" s="5">
        <v>89.99</v>
      </c>
      <c r="O44" t="str">
        <f t="shared" si="0"/>
        <v>BLE</v>
      </c>
      <c r="P44" t="str">
        <f t="shared" si="1"/>
        <v>ble</v>
      </c>
    </row>
    <row r="45" spans="1:16" ht="29.4" thickBot="1">
      <c r="A45" s="1" t="s">
        <v>153</v>
      </c>
      <c r="B45" s="4">
        <v>45446</v>
      </c>
      <c r="C45" s="1" t="s">
        <v>154</v>
      </c>
      <c r="D45" s="1" t="s">
        <v>155</v>
      </c>
      <c r="E45" s="1" t="s">
        <v>117</v>
      </c>
      <c r="F45" s="1" t="s">
        <v>118</v>
      </c>
      <c r="G45" s="1" t="s">
        <v>19</v>
      </c>
      <c r="H45" s="5">
        <v>5</v>
      </c>
      <c r="I45" s="5">
        <v>89.99</v>
      </c>
      <c r="J45" s="1" t="s">
        <v>26</v>
      </c>
      <c r="K45" s="1" t="s">
        <v>63</v>
      </c>
      <c r="L45" s="1" t="s">
        <v>36</v>
      </c>
      <c r="M45" s="4">
        <v>44587</v>
      </c>
      <c r="N45" s="5">
        <v>449.95</v>
      </c>
      <c r="O45" t="str">
        <f t="shared" si="0"/>
        <v>KEY</v>
      </c>
      <c r="P45" t="str">
        <f t="shared" si="1"/>
        <v>key</v>
      </c>
    </row>
    <row r="46" spans="1:16" ht="29.4" thickBot="1">
      <c r="A46" s="1" t="s">
        <v>156</v>
      </c>
      <c r="B46" s="4">
        <v>45449</v>
      </c>
      <c r="C46" s="1" t="s">
        <v>24</v>
      </c>
      <c r="D46" s="1" t="s">
        <v>25</v>
      </c>
      <c r="E46" s="1" t="s">
        <v>17</v>
      </c>
      <c r="F46" s="1" t="s">
        <v>18</v>
      </c>
      <c r="G46" s="1" t="s">
        <v>19</v>
      </c>
      <c r="H46" s="5">
        <v>5</v>
      </c>
      <c r="I46" s="5">
        <v>249.99</v>
      </c>
      <c r="J46" s="1" t="s">
        <v>26</v>
      </c>
      <c r="K46" s="1" t="s">
        <v>63</v>
      </c>
      <c r="L46" s="1" t="s">
        <v>36</v>
      </c>
      <c r="M46" s="4">
        <v>44707</v>
      </c>
      <c r="N46" s="5">
        <v>1249.95</v>
      </c>
      <c r="O46" t="str">
        <f t="shared" si="0"/>
        <v>KEY</v>
      </c>
      <c r="P46" t="str">
        <f t="shared" si="1"/>
        <v>key</v>
      </c>
    </row>
    <row r="47" spans="1:16" ht="29.4" thickBot="1">
      <c r="A47" s="1" t="s">
        <v>157</v>
      </c>
      <c r="B47" s="4">
        <v>45449</v>
      </c>
      <c r="C47" s="1" t="s">
        <v>158</v>
      </c>
      <c r="D47" s="1" t="s">
        <v>159</v>
      </c>
      <c r="E47" s="1" t="s">
        <v>117</v>
      </c>
      <c r="F47" s="1" t="s">
        <v>118</v>
      </c>
      <c r="G47" s="1" t="s">
        <v>19</v>
      </c>
      <c r="H47" s="5">
        <v>1</v>
      </c>
      <c r="I47" s="5">
        <v>89.99</v>
      </c>
      <c r="J47" s="1" t="s">
        <v>26</v>
      </c>
      <c r="K47" s="1" t="s">
        <v>35</v>
      </c>
      <c r="L47" s="1" t="s">
        <v>36</v>
      </c>
      <c r="M47" s="4">
        <v>44582</v>
      </c>
      <c r="N47" s="5">
        <v>89.99</v>
      </c>
      <c r="O47" t="str">
        <f t="shared" si="0"/>
        <v>MON</v>
      </c>
      <c r="P47" t="str">
        <f t="shared" si="1"/>
        <v>mon</v>
      </c>
    </row>
    <row r="48" spans="1:16" ht="29.4" thickBot="1">
      <c r="A48" s="1" t="s">
        <v>160</v>
      </c>
      <c r="B48" s="4">
        <v>45450</v>
      </c>
      <c r="C48" s="1" t="s">
        <v>42</v>
      </c>
      <c r="D48" s="1" t="s">
        <v>43</v>
      </c>
      <c r="E48" s="1" t="s">
        <v>44</v>
      </c>
      <c r="F48" s="1" t="s">
        <v>45</v>
      </c>
      <c r="G48" s="1" t="s">
        <v>46</v>
      </c>
      <c r="H48" s="5">
        <v>2</v>
      </c>
      <c r="I48" s="5">
        <v>149.99</v>
      </c>
      <c r="J48" s="1" t="s">
        <v>20</v>
      </c>
      <c r="K48" s="1" t="s">
        <v>63</v>
      </c>
      <c r="L48" s="1" t="s">
        <v>27</v>
      </c>
      <c r="M48" s="4">
        <v>44645</v>
      </c>
      <c r="N48" s="5">
        <v>299.98</v>
      </c>
      <c r="O48" t="str">
        <f t="shared" si="0"/>
        <v>KEY</v>
      </c>
      <c r="P48" t="str">
        <f t="shared" si="1"/>
        <v>key</v>
      </c>
    </row>
    <row r="49" spans="1:16" ht="29.4" thickBot="1">
      <c r="A49" s="1" t="s">
        <v>161</v>
      </c>
      <c r="B49" s="4">
        <v>45452</v>
      </c>
      <c r="C49" s="1" t="s">
        <v>162</v>
      </c>
      <c r="D49" s="1" t="s">
        <v>163</v>
      </c>
      <c r="E49" s="1" t="s">
        <v>31</v>
      </c>
      <c r="F49" s="1" t="s">
        <v>32</v>
      </c>
      <c r="G49" s="1" t="s">
        <v>33</v>
      </c>
      <c r="H49" s="5">
        <v>4</v>
      </c>
      <c r="I49" s="5">
        <v>59.99</v>
      </c>
      <c r="J49" s="1" t="s">
        <v>20</v>
      </c>
      <c r="K49" s="1" t="s">
        <v>63</v>
      </c>
      <c r="L49" s="1" t="s">
        <v>36</v>
      </c>
      <c r="M49" s="4">
        <v>44435</v>
      </c>
      <c r="N49" s="5">
        <v>239.96</v>
      </c>
      <c r="O49" t="str">
        <f t="shared" si="0"/>
        <v>BOO</v>
      </c>
      <c r="P49" t="str">
        <f t="shared" si="1"/>
        <v>boo</v>
      </c>
    </row>
    <row r="50" spans="1:16" ht="29.4" thickBot="1">
      <c r="A50" s="1" t="s">
        <v>164</v>
      </c>
      <c r="B50" s="4">
        <v>45456</v>
      </c>
      <c r="C50" s="1" t="s">
        <v>129</v>
      </c>
      <c r="D50" s="1" t="s">
        <v>130</v>
      </c>
      <c r="E50" s="1" t="s">
        <v>117</v>
      </c>
      <c r="F50" s="1" t="s">
        <v>118</v>
      </c>
      <c r="G50" s="1" t="s">
        <v>19</v>
      </c>
      <c r="H50" s="5">
        <v>5</v>
      </c>
      <c r="I50" s="5">
        <v>89.99</v>
      </c>
      <c r="J50" s="1" t="s">
        <v>20</v>
      </c>
      <c r="K50" s="1" t="s">
        <v>21</v>
      </c>
      <c r="L50" s="1" t="s">
        <v>27</v>
      </c>
      <c r="M50" s="4">
        <v>44579</v>
      </c>
      <c r="N50" s="5">
        <v>449.95</v>
      </c>
      <c r="O50" t="str">
        <f t="shared" si="0"/>
        <v>BLE</v>
      </c>
      <c r="P50" t="str">
        <f t="shared" si="1"/>
        <v>ble</v>
      </c>
    </row>
    <row r="51" spans="1:16" ht="29.4" thickBot="1">
      <c r="A51" s="1" t="s">
        <v>165</v>
      </c>
      <c r="B51" s="4">
        <v>45459</v>
      </c>
      <c r="C51" s="1" t="s">
        <v>99</v>
      </c>
      <c r="D51" s="1" t="s">
        <v>100</v>
      </c>
      <c r="E51" s="1" t="s">
        <v>117</v>
      </c>
      <c r="F51" s="1" t="s">
        <v>118</v>
      </c>
      <c r="G51" s="1" t="s">
        <v>19</v>
      </c>
      <c r="H51" s="5">
        <v>2</v>
      </c>
      <c r="I51" s="5">
        <v>89.99</v>
      </c>
      <c r="J51" s="1" t="s">
        <v>26</v>
      </c>
      <c r="K51" s="1" t="s">
        <v>35</v>
      </c>
      <c r="L51" s="1" t="s">
        <v>27</v>
      </c>
      <c r="M51" s="4">
        <v>44471</v>
      </c>
      <c r="N51" s="5">
        <v>179.98</v>
      </c>
      <c r="O51" t="str">
        <f t="shared" si="0"/>
        <v>KEY</v>
      </c>
      <c r="P51" t="str">
        <f t="shared" si="1"/>
        <v>key</v>
      </c>
    </row>
    <row r="52" spans="1:16" ht="29.4" thickBot="1">
      <c r="A52" s="1" t="s">
        <v>166</v>
      </c>
      <c r="B52" s="4">
        <v>45459</v>
      </c>
      <c r="C52" s="1" t="s">
        <v>15</v>
      </c>
      <c r="D52" s="1" t="s">
        <v>16</v>
      </c>
      <c r="E52" s="1" t="s">
        <v>61</v>
      </c>
      <c r="F52" s="1" t="s">
        <v>62</v>
      </c>
      <c r="G52" s="1" t="s">
        <v>19</v>
      </c>
      <c r="H52" s="5">
        <v>5</v>
      </c>
      <c r="I52" s="5">
        <v>899.99</v>
      </c>
      <c r="J52" s="1" t="s">
        <v>26</v>
      </c>
      <c r="K52" s="1" t="s">
        <v>35</v>
      </c>
      <c r="L52" s="1" t="s">
        <v>36</v>
      </c>
      <c r="M52" s="4">
        <v>44974</v>
      </c>
      <c r="N52" s="5">
        <v>4499.95</v>
      </c>
      <c r="O52" t="str">
        <f t="shared" si="0"/>
        <v>KEY</v>
      </c>
      <c r="P52" t="str">
        <f t="shared" si="1"/>
        <v>key</v>
      </c>
    </row>
    <row r="53" spans="1:16" ht="29.4" thickBot="1">
      <c r="A53" s="1" t="s">
        <v>167</v>
      </c>
      <c r="B53" s="4">
        <v>45459</v>
      </c>
      <c r="C53" s="1" t="s">
        <v>123</v>
      </c>
      <c r="D53" s="1" t="s">
        <v>124</v>
      </c>
      <c r="E53" s="1" t="s">
        <v>61</v>
      </c>
      <c r="F53" s="1" t="s">
        <v>62</v>
      </c>
      <c r="G53" s="1" t="s">
        <v>19</v>
      </c>
      <c r="H53" s="5">
        <v>5</v>
      </c>
      <c r="I53" s="5">
        <v>899.99</v>
      </c>
      <c r="J53" s="1" t="s">
        <v>34</v>
      </c>
      <c r="K53" s="1" t="s">
        <v>63</v>
      </c>
      <c r="L53" s="1" t="s">
        <v>27</v>
      </c>
      <c r="M53" s="4">
        <v>45278</v>
      </c>
      <c r="N53" s="5">
        <v>4499.95</v>
      </c>
      <c r="O53" t="str">
        <f t="shared" si="0"/>
        <v>LAP</v>
      </c>
      <c r="P53" t="str">
        <f t="shared" si="1"/>
        <v>lap</v>
      </c>
    </row>
    <row r="54" spans="1:16" ht="29.4" thickBot="1">
      <c r="A54" s="1" t="s">
        <v>168</v>
      </c>
      <c r="B54" s="4">
        <v>45460</v>
      </c>
      <c r="C54" s="1" t="s">
        <v>158</v>
      </c>
      <c r="D54" s="1" t="s">
        <v>159</v>
      </c>
      <c r="E54" s="1" t="s">
        <v>31</v>
      </c>
      <c r="F54" s="1" t="s">
        <v>32</v>
      </c>
      <c r="G54" s="1" t="s">
        <v>33</v>
      </c>
      <c r="H54" s="5">
        <v>1</v>
      </c>
      <c r="I54" s="5">
        <v>59.99</v>
      </c>
      <c r="J54" s="1" t="s">
        <v>57</v>
      </c>
      <c r="K54" s="1" t="s">
        <v>50</v>
      </c>
      <c r="L54" s="1" t="s">
        <v>27</v>
      </c>
      <c r="M54" s="4">
        <v>45190</v>
      </c>
      <c r="N54" s="5">
        <v>59.99</v>
      </c>
      <c r="O54" t="str">
        <f t="shared" si="0"/>
        <v>LAP</v>
      </c>
      <c r="P54" t="str">
        <f t="shared" si="1"/>
        <v>lap</v>
      </c>
    </row>
    <row r="55" spans="1:16" ht="29.4" thickBot="1">
      <c r="A55" s="1" t="s">
        <v>169</v>
      </c>
      <c r="B55" s="4">
        <v>45460</v>
      </c>
      <c r="C55" s="1" t="s">
        <v>141</v>
      </c>
      <c r="D55" s="1" t="s">
        <v>142</v>
      </c>
      <c r="E55" s="1" t="s">
        <v>105</v>
      </c>
      <c r="F55" s="1" t="s">
        <v>106</v>
      </c>
      <c r="G55" s="1" t="s">
        <v>46</v>
      </c>
      <c r="H55" s="5">
        <v>2</v>
      </c>
      <c r="I55" s="5">
        <v>299.99</v>
      </c>
      <c r="J55" s="1" t="s">
        <v>57</v>
      </c>
      <c r="K55" s="1" t="s">
        <v>63</v>
      </c>
      <c r="L55" s="1" t="s">
        <v>36</v>
      </c>
      <c r="M55" s="4">
        <v>45253</v>
      </c>
      <c r="N55" s="5">
        <v>599.98</v>
      </c>
      <c r="O55" t="str">
        <f t="shared" si="0"/>
        <v>BLE</v>
      </c>
      <c r="P55" t="str">
        <f t="shared" si="1"/>
        <v>ble</v>
      </c>
    </row>
    <row r="56" spans="1:16" ht="29.4" thickBot="1">
      <c r="A56" s="1" t="s">
        <v>170</v>
      </c>
      <c r="B56" s="4">
        <v>45468</v>
      </c>
      <c r="C56" s="1" t="s">
        <v>171</v>
      </c>
      <c r="D56" s="1" t="s">
        <v>172</v>
      </c>
      <c r="E56" s="1" t="s">
        <v>117</v>
      </c>
      <c r="F56" s="1" t="s">
        <v>118</v>
      </c>
      <c r="G56" s="1" t="s">
        <v>19</v>
      </c>
      <c r="H56" s="5">
        <v>4</v>
      </c>
      <c r="I56" s="5">
        <v>89.99</v>
      </c>
      <c r="J56" s="1" t="s">
        <v>57</v>
      </c>
      <c r="K56" s="1" t="s">
        <v>35</v>
      </c>
      <c r="L56" s="1" t="s">
        <v>22</v>
      </c>
      <c r="M56" s="4">
        <v>45281</v>
      </c>
      <c r="N56" s="5">
        <v>359.96</v>
      </c>
      <c r="O56" t="str">
        <f t="shared" si="0"/>
        <v>DES</v>
      </c>
      <c r="P56" t="str">
        <f t="shared" si="1"/>
        <v>des</v>
      </c>
    </row>
    <row r="57" spans="1:16" ht="29.4" thickBot="1">
      <c r="A57" s="1" t="s">
        <v>173</v>
      </c>
      <c r="B57" s="4">
        <v>45469</v>
      </c>
      <c r="C57" s="1" t="s">
        <v>29</v>
      </c>
      <c r="D57" s="1" t="s">
        <v>30</v>
      </c>
      <c r="E57" s="1" t="s">
        <v>114</v>
      </c>
      <c r="F57" s="1" t="s">
        <v>115</v>
      </c>
      <c r="G57" s="1" t="s">
        <v>33</v>
      </c>
      <c r="H57" s="5">
        <v>1</v>
      </c>
      <c r="I57" s="5">
        <v>79.989999999999995</v>
      </c>
      <c r="J57" s="1" t="s">
        <v>34</v>
      </c>
      <c r="K57" s="1" t="s">
        <v>21</v>
      </c>
      <c r="L57" s="1" t="s">
        <v>27</v>
      </c>
      <c r="M57" s="4">
        <v>45352</v>
      </c>
      <c r="N57" s="5">
        <v>79.989999999999995</v>
      </c>
      <c r="O57" t="str">
        <f t="shared" si="0"/>
        <v>KEY</v>
      </c>
      <c r="P57" t="str">
        <f t="shared" si="1"/>
        <v>key</v>
      </c>
    </row>
    <row r="58" spans="1:16" ht="29.4" thickBot="1">
      <c r="A58" s="1" t="s">
        <v>174</v>
      </c>
      <c r="B58" s="4">
        <v>45469</v>
      </c>
      <c r="C58" s="1" t="s">
        <v>59</v>
      </c>
      <c r="D58" s="1" t="s">
        <v>60</v>
      </c>
      <c r="E58" s="1" t="s">
        <v>117</v>
      </c>
      <c r="F58" s="1" t="s">
        <v>118</v>
      </c>
      <c r="G58" s="1" t="s">
        <v>19</v>
      </c>
      <c r="H58" s="5">
        <v>2</v>
      </c>
      <c r="I58" s="5">
        <v>89.99</v>
      </c>
      <c r="J58" s="1" t="s">
        <v>20</v>
      </c>
      <c r="K58" s="1" t="s">
        <v>50</v>
      </c>
      <c r="L58" s="1" t="s">
        <v>22</v>
      </c>
      <c r="M58" s="4">
        <v>44438</v>
      </c>
      <c r="N58" s="5">
        <v>179.98</v>
      </c>
      <c r="O58" t="str">
        <f t="shared" si="0"/>
        <v>COF</v>
      </c>
      <c r="P58" t="str">
        <f t="shared" si="1"/>
        <v>cof</v>
      </c>
    </row>
    <row r="59" spans="1:16" ht="29.4" thickBot="1">
      <c r="A59" s="1" t="s">
        <v>175</v>
      </c>
      <c r="B59" s="4">
        <v>45471</v>
      </c>
      <c r="C59" s="1" t="s">
        <v>38</v>
      </c>
      <c r="D59" s="1" t="s">
        <v>39</v>
      </c>
      <c r="E59" s="1" t="s">
        <v>80</v>
      </c>
      <c r="F59" s="1" t="s">
        <v>81</v>
      </c>
      <c r="G59" s="1" t="s">
        <v>19</v>
      </c>
      <c r="H59" s="5">
        <v>3</v>
      </c>
      <c r="I59" s="5">
        <v>699.99</v>
      </c>
      <c r="J59" s="1" t="s">
        <v>26</v>
      </c>
      <c r="K59" s="1" t="s">
        <v>63</v>
      </c>
      <c r="L59" s="1" t="s">
        <v>27</v>
      </c>
      <c r="M59" s="4">
        <v>45102</v>
      </c>
      <c r="N59" s="5">
        <v>2099.9699999999998</v>
      </c>
      <c r="O59" t="str">
        <f t="shared" si="0"/>
        <v>KEY</v>
      </c>
      <c r="P59" t="str">
        <f t="shared" si="1"/>
        <v>key</v>
      </c>
    </row>
    <row r="60" spans="1:16" ht="29.4" thickBot="1">
      <c r="A60" s="1" t="s">
        <v>176</v>
      </c>
      <c r="B60" s="4">
        <v>45471</v>
      </c>
      <c r="C60" s="1" t="s">
        <v>99</v>
      </c>
      <c r="D60" s="1" t="s">
        <v>100</v>
      </c>
      <c r="E60" s="1" t="s">
        <v>61</v>
      </c>
      <c r="F60" s="1" t="s">
        <v>62</v>
      </c>
      <c r="G60" s="1" t="s">
        <v>19</v>
      </c>
      <c r="H60" s="5">
        <v>4</v>
      </c>
      <c r="I60" s="5">
        <v>899.99</v>
      </c>
      <c r="J60" s="1" t="s">
        <v>26</v>
      </c>
      <c r="K60" s="1" t="s">
        <v>63</v>
      </c>
      <c r="L60" s="1" t="s">
        <v>27</v>
      </c>
      <c r="M60" s="4">
        <v>44993</v>
      </c>
      <c r="N60" s="5">
        <v>3599.96</v>
      </c>
      <c r="O60" t="str">
        <f t="shared" si="0"/>
        <v>SMA</v>
      </c>
      <c r="P60" t="str">
        <f t="shared" si="1"/>
        <v>sma</v>
      </c>
    </row>
    <row r="61" spans="1:16" ht="29.4" thickBot="1">
      <c r="A61" s="1" t="s">
        <v>177</v>
      </c>
      <c r="B61" s="4">
        <v>45472</v>
      </c>
      <c r="C61" s="1" t="s">
        <v>120</v>
      </c>
      <c r="D61" s="1" t="s">
        <v>121</v>
      </c>
      <c r="E61" s="1" t="s">
        <v>44</v>
      </c>
      <c r="F61" s="1" t="s">
        <v>45</v>
      </c>
      <c r="G61" s="1" t="s">
        <v>46</v>
      </c>
      <c r="H61" s="5">
        <v>1</v>
      </c>
      <c r="I61" s="5">
        <v>149.99</v>
      </c>
      <c r="J61" s="1" t="s">
        <v>34</v>
      </c>
      <c r="K61" s="1" t="s">
        <v>63</v>
      </c>
      <c r="L61" s="1" t="s">
        <v>22</v>
      </c>
      <c r="M61" s="4">
        <v>44851</v>
      </c>
      <c r="N61" s="5">
        <v>149.99</v>
      </c>
      <c r="O61" t="str">
        <f t="shared" si="0"/>
        <v>LAP</v>
      </c>
      <c r="P61" t="str">
        <f t="shared" si="1"/>
        <v>lap</v>
      </c>
    </row>
    <row r="62" spans="1:16" ht="29.4" thickBot="1">
      <c r="A62" s="1" t="s">
        <v>178</v>
      </c>
      <c r="B62" s="4">
        <v>45474</v>
      </c>
      <c r="C62" s="1" t="s">
        <v>132</v>
      </c>
      <c r="D62" s="1" t="s">
        <v>133</v>
      </c>
      <c r="E62" s="1" t="s">
        <v>117</v>
      </c>
      <c r="F62" s="1" t="s">
        <v>118</v>
      </c>
      <c r="G62" s="1" t="s">
        <v>19</v>
      </c>
      <c r="H62" s="5">
        <v>2</v>
      </c>
      <c r="I62" s="5">
        <v>89.99</v>
      </c>
      <c r="J62" s="1" t="s">
        <v>34</v>
      </c>
      <c r="K62" s="1" t="s">
        <v>21</v>
      </c>
      <c r="L62" s="1" t="s">
        <v>27</v>
      </c>
      <c r="M62" s="4">
        <v>45275</v>
      </c>
      <c r="N62" s="5">
        <v>179.98</v>
      </c>
      <c r="O62" t="str">
        <f t="shared" si="0"/>
        <v>BOO</v>
      </c>
      <c r="P62" t="str">
        <f t="shared" si="1"/>
        <v>boo</v>
      </c>
    </row>
    <row r="63" spans="1:16" ht="29.4" thickBot="1">
      <c r="A63" s="1" t="s">
        <v>179</v>
      </c>
      <c r="B63" s="4">
        <v>45475</v>
      </c>
      <c r="C63" s="1" t="s">
        <v>55</v>
      </c>
      <c r="D63" s="1" t="s">
        <v>56</v>
      </c>
      <c r="E63" s="1" t="s">
        <v>117</v>
      </c>
      <c r="F63" s="1" t="s">
        <v>118</v>
      </c>
      <c r="G63" s="1" t="s">
        <v>19</v>
      </c>
      <c r="H63" s="5">
        <v>1</v>
      </c>
      <c r="I63" s="5">
        <v>89.99</v>
      </c>
      <c r="J63" s="1" t="s">
        <v>34</v>
      </c>
      <c r="K63" s="1" t="s">
        <v>50</v>
      </c>
      <c r="L63" s="1" t="s">
        <v>36</v>
      </c>
      <c r="M63" s="4">
        <v>44802</v>
      </c>
      <c r="N63" s="5">
        <v>89.99</v>
      </c>
      <c r="O63" t="str">
        <f t="shared" si="0"/>
        <v>KEY</v>
      </c>
      <c r="P63" t="str">
        <f t="shared" si="1"/>
        <v>key</v>
      </c>
    </row>
    <row r="64" spans="1:16" ht="29.4" thickBot="1">
      <c r="A64" s="1" t="s">
        <v>180</v>
      </c>
      <c r="B64" s="4">
        <v>45476</v>
      </c>
      <c r="C64" s="1" t="s">
        <v>68</v>
      </c>
      <c r="D64" s="1" t="s">
        <v>69</v>
      </c>
      <c r="E64" s="1" t="s">
        <v>117</v>
      </c>
      <c r="F64" s="1" t="s">
        <v>118</v>
      </c>
      <c r="G64" s="1" t="s">
        <v>19</v>
      </c>
      <c r="H64" s="5">
        <v>1</v>
      </c>
      <c r="I64" s="5">
        <v>89.99</v>
      </c>
      <c r="J64" s="1" t="s">
        <v>20</v>
      </c>
      <c r="K64" s="1" t="s">
        <v>35</v>
      </c>
      <c r="L64" s="1" t="s">
        <v>36</v>
      </c>
      <c r="M64" s="4">
        <v>44611</v>
      </c>
      <c r="N64" s="5">
        <v>89.99</v>
      </c>
      <c r="O64" t="str">
        <f t="shared" si="0"/>
        <v>KEY</v>
      </c>
      <c r="P64" t="str">
        <f t="shared" si="1"/>
        <v>key</v>
      </c>
    </row>
    <row r="65" spans="1:16" ht="29.4" thickBot="1">
      <c r="A65" s="1" t="s">
        <v>181</v>
      </c>
      <c r="B65" s="4">
        <v>45476</v>
      </c>
      <c r="C65" s="1" t="s">
        <v>182</v>
      </c>
      <c r="D65" s="1" t="s">
        <v>183</v>
      </c>
      <c r="E65" s="1" t="s">
        <v>114</v>
      </c>
      <c r="F65" s="1" t="s">
        <v>115</v>
      </c>
      <c r="G65" s="1" t="s">
        <v>33</v>
      </c>
      <c r="H65" s="5">
        <v>5</v>
      </c>
      <c r="I65" s="5">
        <v>79.989999999999995</v>
      </c>
      <c r="J65" s="1" t="s">
        <v>57</v>
      </c>
      <c r="K65" s="1" t="s">
        <v>21</v>
      </c>
      <c r="L65" s="1" t="s">
        <v>22</v>
      </c>
      <c r="M65" s="4">
        <v>44981</v>
      </c>
      <c r="N65" s="5">
        <v>399.95</v>
      </c>
      <c r="O65" t="str">
        <f t="shared" si="0"/>
        <v>KEY</v>
      </c>
      <c r="P65" t="str">
        <f t="shared" si="1"/>
        <v>key</v>
      </c>
    </row>
    <row r="66" spans="1:16" ht="29.4" thickBot="1">
      <c r="A66" s="1" t="s">
        <v>184</v>
      </c>
      <c r="B66" s="4">
        <v>45481</v>
      </c>
      <c r="C66" s="1" t="s">
        <v>185</v>
      </c>
      <c r="D66" s="1" t="s">
        <v>186</v>
      </c>
      <c r="E66" s="1" t="s">
        <v>44</v>
      </c>
      <c r="F66" s="1" t="s">
        <v>45</v>
      </c>
      <c r="G66" s="1" t="s">
        <v>46</v>
      </c>
      <c r="H66" s="5">
        <v>1</v>
      </c>
      <c r="I66" s="5">
        <v>149.99</v>
      </c>
      <c r="J66" s="1" t="s">
        <v>34</v>
      </c>
      <c r="K66" s="1" t="s">
        <v>40</v>
      </c>
      <c r="L66" s="1" t="s">
        <v>22</v>
      </c>
      <c r="M66" s="4">
        <v>44421</v>
      </c>
      <c r="N66" s="5">
        <v>149.99</v>
      </c>
      <c r="O66" t="str">
        <f t="shared" si="0"/>
        <v>COF</v>
      </c>
      <c r="P66" t="str">
        <f t="shared" si="1"/>
        <v>cof</v>
      </c>
    </row>
    <row r="67" spans="1:16" ht="29.4" thickBot="1">
      <c r="A67" s="1" t="s">
        <v>187</v>
      </c>
      <c r="B67" s="4">
        <v>45481</v>
      </c>
      <c r="C67" s="1" t="s">
        <v>42</v>
      </c>
      <c r="D67" s="1" t="s">
        <v>43</v>
      </c>
      <c r="E67" s="1" t="s">
        <v>80</v>
      </c>
      <c r="F67" s="1" t="s">
        <v>81</v>
      </c>
      <c r="G67" s="1" t="s">
        <v>19</v>
      </c>
      <c r="H67" s="5">
        <v>2</v>
      </c>
      <c r="I67" s="5">
        <v>699.99</v>
      </c>
      <c r="J67" s="1" t="s">
        <v>34</v>
      </c>
      <c r="K67" s="1" t="s">
        <v>63</v>
      </c>
      <c r="L67" s="1" t="s">
        <v>27</v>
      </c>
      <c r="M67" s="4">
        <v>45389</v>
      </c>
      <c r="N67" s="5">
        <v>1399.98</v>
      </c>
      <c r="O67" t="str">
        <f t="shared" si="0"/>
        <v>BOO</v>
      </c>
      <c r="P67" t="str">
        <f t="shared" si="1"/>
        <v>boo</v>
      </c>
    </row>
    <row r="68" spans="1:16" ht="29.4" thickBot="1">
      <c r="A68" s="1" t="s">
        <v>188</v>
      </c>
      <c r="B68" s="4">
        <v>45481</v>
      </c>
      <c r="C68" s="1" t="s">
        <v>96</v>
      </c>
      <c r="D68" s="1" t="s">
        <v>97</v>
      </c>
      <c r="E68" s="1" t="s">
        <v>117</v>
      </c>
      <c r="F68" s="1" t="s">
        <v>118</v>
      </c>
      <c r="G68" s="1" t="s">
        <v>19</v>
      </c>
      <c r="H68" s="5">
        <v>5</v>
      </c>
      <c r="I68" s="5">
        <v>89.99</v>
      </c>
      <c r="J68" s="1" t="s">
        <v>57</v>
      </c>
      <c r="K68" s="1" t="s">
        <v>40</v>
      </c>
      <c r="L68" s="1" t="s">
        <v>27</v>
      </c>
      <c r="M68" s="4">
        <v>45161</v>
      </c>
      <c r="N68" s="5">
        <v>449.95</v>
      </c>
      <c r="O68" t="str">
        <f t="shared" ref="O68:O131" si="2">UPPER(LEFT(F67,3))</f>
        <v>SMA</v>
      </c>
      <c r="P68" t="str">
        <f t="shared" ref="P68:P131" si="3">LOWER(LEFT(F67,3))</f>
        <v>sma</v>
      </c>
    </row>
    <row r="69" spans="1:16" ht="29.4" thickBot="1">
      <c r="A69" s="1" t="s">
        <v>189</v>
      </c>
      <c r="B69" s="4">
        <v>45482</v>
      </c>
      <c r="C69" s="1" t="s">
        <v>171</v>
      </c>
      <c r="D69" s="1" t="s">
        <v>172</v>
      </c>
      <c r="E69" s="1" t="s">
        <v>31</v>
      </c>
      <c r="F69" s="1" t="s">
        <v>32</v>
      </c>
      <c r="G69" s="1" t="s">
        <v>33</v>
      </c>
      <c r="H69" s="5">
        <v>4</v>
      </c>
      <c r="I69" s="5">
        <v>59.99</v>
      </c>
      <c r="J69" s="1" t="s">
        <v>20</v>
      </c>
      <c r="K69" s="1" t="s">
        <v>35</v>
      </c>
      <c r="L69" s="1" t="s">
        <v>36</v>
      </c>
      <c r="M69" s="4">
        <v>44509</v>
      </c>
      <c r="N69" s="5">
        <v>239.96</v>
      </c>
      <c r="O69" t="str">
        <f t="shared" si="2"/>
        <v>KEY</v>
      </c>
      <c r="P69" t="str">
        <f t="shared" si="3"/>
        <v>key</v>
      </c>
    </row>
    <row r="70" spans="1:16" ht="29.4" thickBot="1">
      <c r="A70" s="1" t="s">
        <v>190</v>
      </c>
      <c r="B70" s="4">
        <v>45484</v>
      </c>
      <c r="C70" s="1" t="s">
        <v>24</v>
      </c>
      <c r="D70" s="1" t="s">
        <v>25</v>
      </c>
      <c r="E70" s="1" t="s">
        <v>52</v>
      </c>
      <c r="F70" s="1" t="s">
        <v>53</v>
      </c>
      <c r="G70" s="1" t="s">
        <v>19</v>
      </c>
      <c r="H70" s="5">
        <v>1</v>
      </c>
      <c r="I70" s="5">
        <v>149.99</v>
      </c>
      <c r="J70" s="1" t="s">
        <v>20</v>
      </c>
      <c r="K70" s="1" t="s">
        <v>21</v>
      </c>
      <c r="L70" s="1" t="s">
        <v>36</v>
      </c>
      <c r="M70" s="4">
        <v>44909</v>
      </c>
      <c r="N70" s="5">
        <v>149.99</v>
      </c>
      <c r="O70" t="str">
        <f t="shared" si="2"/>
        <v>BLE</v>
      </c>
      <c r="P70" t="str">
        <f t="shared" si="3"/>
        <v>ble</v>
      </c>
    </row>
    <row r="71" spans="1:16" ht="29.4" thickBot="1">
      <c r="A71" s="1" t="s">
        <v>191</v>
      </c>
      <c r="B71" s="4">
        <v>45484</v>
      </c>
      <c r="C71" s="1" t="s">
        <v>192</v>
      </c>
      <c r="D71" s="1" t="s">
        <v>193</v>
      </c>
      <c r="E71" s="1" t="s">
        <v>105</v>
      </c>
      <c r="F71" s="1" t="s">
        <v>106</v>
      </c>
      <c r="G71" s="1" t="s">
        <v>46</v>
      </c>
      <c r="H71" s="5">
        <v>1</v>
      </c>
      <c r="I71" s="5">
        <v>299.99</v>
      </c>
      <c r="J71" s="1" t="s">
        <v>26</v>
      </c>
      <c r="K71" s="1" t="s">
        <v>40</v>
      </c>
      <c r="L71" s="1" t="s">
        <v>27</v>
      </c>
      <c r="M71" s="4">
        <v>44891</v>
      </c>
      <c r="N71" s="5">
        <v>299.99</v>
      </c>
      <c r="O71" t="str">
        <f t="shared" si="2"/>
        <v>HEA</v>
      </c>
      <c r="P71" t="str">
        <f t="shared" si="3"/>
        <v>hea</v>
      </c>
    </row>
    <row r="72" spans="1:16" ht="29.4" thickBot="1">
      <c r="A72" s="1" t="s">
        <v>194</v>
      </c>
      <c r="B72" s="4">
        <v>45487</v>
      </c>
      <c r="C72" s="1" t="s">
        <v>192</v>
      </c>
      <c r="D72" s="1" t="s">
        <v>193</v>
      </c>
      <c r="E72" s="1" t="s">
        <v>126</v>
      </c>
      <c r="F72" s="1" t="s">
        <v>127</v>
      </c>
      <c r="G72" s="1" t="s">
        <v>46</v>
      </c>
      <c r="H72" s="5">
        <v>2</v>
      </c>
      <c r="I72" s="5">
        <v>199.99</v>
      </c>
      <c r="J72" s="1" t="s">
        <v>20</v>
      </c>
      <c r="K72" s="1" t="s">
        <v>40</v>
      </c>
      <c r="L72" s="1" t="s">
        <v>22</v>
      </c>
      <c r="M72" s="4">
        <v>44541</v>
      </c>
      <c r="N72" s="5">
        <v>399.98</v>
      </c>
      <c r="O72" t="str">
        <f t="shared" si="2"/>
        <v>DES</v>
      </c>
      <c r="P72" t="str">
        <f t="shared" si="3"/>
        <v>des</v>
      </c>
    </row>
    <row r="73" spans="1:16" ht="29.4" thickBot="1">
      <c r="A73" s="1" t="s">
        <v>195</v>
      </c>
      <c r="B73" s="4">
        <v>45490</v>
      </c>
      <c r="C73" s="1" t="s">
        <v>196</v>
      </c>
      <c r="D73" s="1" t="s">
        <v>197</v>
      </c>
      <c r="E73" s="1" t="s">
        <v>31</v>
      </c>
      <c r="F73" s="1" t="s">
        <v>32</v>
      </c>
      <c r="G73" s="1" t="s">
        <v>33</v>
      </c>
      <c r="H73" s="5">
        <v>3</v>
      </c>
      <c r="I73" s="5">
        <v>59.99</v>
      </c>
      <c r="J73" s="1" t="s">
        <v>26</v>
      </c>
      <c r="K73" s="1" t="s">
        <v>50</v>
      </c>
      <c r="L73" s="1" t="s">
        <v>22</v>
      </c>
      <c r="M73" s="4">
        <v>45130</v>
      </c>
      <c r="N73" s="5">
        <v>179.97</v>
      </c>
      <c r="O73" t="str">
        <f t="shared" si="2"/>
        <v>OFF</v>
      </c>
      <c r="P73" t="str">
        <f t="shared" si="3"/>
        <v>off</v>
      </c>
    </row>
    <row r="74" spans="1:16" ht="43.8" thickBot="1">
      <c r="A74" s="1" t="s">
        <v>198</v>
      </c>
      <c r="B74" s="4">
        <v>45490</v>
      </c>
      <c r="C74" s="1" t="s">
        <v>72</v>
      </c>
      <c r="D74" s="1" t="s">
        <v>73</v>
      </c>
      <c r="E74" s="1" t="s">
        <v>44</v>
      </c>
      <c r="F74" s="1" t="s">
        <v>45</v>
      </c>
      <c r="G74" s="1" t="s">
        <v>46</v>
      </c>
      <c r="H74" s="5">
        <v>3</v>
      </c>
      <c r="I74" s="5">
        <v>149.99</v>
      </c>
      <c r="J74" s="1" t="s">
        <v>20</v>
      </c>
      <c r="K74" s="1" t="s">
        <v>21</v>
      </c>
      <c r="L74" s="1" t="s">
        <v>27</v>
      </c>
      <c r="M74" s="4">
        <v>45199</v>
      </c>
      <c r="N74" s="5">
        <v>449.97</v>
      </c>
      <c r="O74" t="str">
        <f t="shared" si="2"/>
        <v>BLE</v>
      </c>
      <c r="P74" t="str">
        <f t="shared" si="3"/>
        <v>ble</v>
      </c>
    </row>
    <row r="75" spans="1:16" ht="29.4" thickBot="1">
      <c r="A75" s="1" t="s">
        <v>199</v>
      </c>
      <c r="B75" s="4">
        <v>45491</v>
      </c>
      <c r="C75" s="1" t="s">
        <v>65</v>
      </c>
      <c r="D75" s="1" t="s">
        <v>66</v>
      </c>
      <c r="E75" s="1" t="s">
        <v>126</v>
      </c>
      <c r="F75" s="1" t="s">
        <v>127</v>
      </c>
      <c r="G75" s="1" t="s">
        <v>46</v>
      </c>
      <c r="H75" s="5">
        <v>3</v>
      </c>
      <c r="I75" s="5">
        <v>199.99</v>
      </c>
      <c r="J75" s="1" t="s">
        <v>20</v>
      </c>
      <c r="K75" s="1" t="s">
        <v>40</v>
      </c>
      <c r="L75" s="1" t="s">
        <v>27</v>
      </c>
      <c r="M75" s="4">
        <v>45254</v>
      </c>
      <c r="N75" s="5">
        <v>599.97</v>
      </c>
      <c r="O75" t="str">
        <f t="shared" si="2"/>
        <v>BOO</v>
      </c>
      <c r="P75" t="str">
        <f t="shared" si="3"/>
        <v>boo</v>
      </c>
    </row>
    <row r="76" spans="1:16" ht="29.4" thickBot="1">
      <c r="A76" s="1" t="s">
        <v>200</v>
      </c>
      <c r="B76" s="4">
        <v>45496</v>
      </c>
      <c r="C76" s="1" t="s">
        <v>150</v>
      </c>
      <c r="D76" s="1" t="s">
        <v>151</v>
      </c>
      <c r="E76" s="1" t="s">
        <v>61</v>
      </c>
      <c r="F76" s="1" t="s">
        <v>62</v>
      </c>
      <c r="G76" s="1" t="s">
        <v>19</v>
      </c>
      <c r="H76" s="5">
        <v>1</v>
      </c>
      <c r="I76" s="5">
        <v>899.99</v>
      </c>
      <c r="J76" s="1" t="s">
        <v>20</v>
      </c>
      <c r="K76" s="1" t="s">
        <v>21</v>
      </c>
      <c r="L76" s="1" t="s">
        <v>36</v>
      </c>
      <c r="M76" s="4">
        <v>45179</v>
      </c>
      <c r="N76" s="5">
        <v>899.99</v>
      </c>
      <c r="O76" t="str">
        <f t="shared" si="2"/>
        <v>OFF</v>
      </c>
      <c r="P76" t="str">
        <f t="shared" si="3"/>
        <v>off</v>
      </c>
    </row>
    <row r="77" spans="1:16" ht="29.4" thickBot="1">
      <c r="A77" s="1" t="s">
        <v>201</v>
      </c>
      <c r="B77" s="4">
        <v>45497</v>
      </c>
      <c r="C77" s="1" t="s">
        <v>24</v>
      </c>
      <c r="D77" s="1" t="s">
        <v>25</v>
      </c>
      <c r="E77" s="1" t="s">
        <v>61</v>
      </c>
      <c r="F77" s="1" t="s">
        <v>62</v>
      </c>
      <c r="G77" s="1" t="s">
        <v>19</v>
      </c>
      <c r="H77" s="5">
        <v>5</v>
      </c>
      <c r="I77" s="5">
        <v>899.99</v>
      </c>
      <c r="J77" s="1" t="s">
        <v>57</v>
      </c>
      <c r="K77" s="1" t="s">
        <v>35</v>
      </c>
      <c r="L77" s="1" t="s">
        <v>36</v>
      </c>
      <c r="M77" s="4">
        <v>44899</v>
      </c>
      <c r="N77" s="5">
        <v>4499.95</v>
      </c>
      <c r="O77" t="str">
        <f t="shared" si="2"/>
        <v>LAP</v>
      </c>
      <c r="P77" t="str">
        <f t="shared" si="3"/>
        <v>lap</v>
      </c>
    </row>
    <row r="78" spans="1:16" ht="29.4" thickBot="1">
      <c r="A78" s="1" t="s">
        <v>202</v>
      </c>
      <c r="B78" s="4">
        <v>45498</v>
      </c>
      <c r="C78" s="1" t="s">
        <v>182</v>
      </c>
      <c r="D78" s="1" t="s">
        <v>183</v>
      </c>
      <c r="E78" s="1" t="s">
        <v>31</v>
      </c>
      <c r="F78" s="1" t="s">
        <v>32</v>
      </c>
      <c r="G78" s="1" t="s">
        <v>33</v>
      </c>
      <c r="H78" s="5">
        <v>2</v>
      </c>
      <c r="I78" s="5">
        <v>59.99</v>
      </c>
      <c r="J78" s="1" t="s">
        <v>20</v>
      </c>
      <c r="K78" s="1" t="s">
        <v>40</v>
      </c>
      <c r="L78" s="1" t="s">
        <v>36</v>
      </c>
      <c r="M78" s="4">
        <v>45152</v>
      </c>
      <c r="N78" s="5">
        <v>119.98</v>
      </c>
      <c r="O78" t="str">
        <f t="shared" si="2"/>
        <v>LAP</v>
      </c>
      <c r="P78" t="str">
        <f t="shared" si="3"/>
        <v>lap</v>
      </c>
    </row>
    <row r="79" spans="1:16" ht="29.4" thickBot="1">
      <c r="A79" s="1" t="s">
        <v>203</v>
      </c>
      <c r="B79" s="4">
        <v>45498</v>
      </c>
      <c r="C79" s="1" t="s">
        <v>196</v>
      </c>
      <c r="D79" s="1" t="s">
        <v>197</v>
      </c>
      <c r="E79" s="1" t="s">
        <v>17</v>
      </c>
      <c r="F79" s="1" t="s">
        <v>18</v>
      </c>
      <c r="G79" s="1" t="s">
        <v>19</v>
      </c>
      <c r="H79" s="5">
        <v>4</v>
      </c>
      <c r="I79" s="5">
        <v>249.99</v>
      </c>
      <c r="J79" s="1" t="s">
        <v>57</v>
      </c>
      <c r="K79" s="1" t="s">
        <v>21</v>
      </c>
      <c r="L79" s="1" t="s">
        <v>36</v>
      </c>
      <c r="M79" s="4">
        <v>45127</v>
      </c>
      <c r="N79" s="5">
        <v>999.96</v>
      </c>
      <c r="O79" t="str">
        <f t="shared" si="2"/>
        <v>BLE</v>
      </c>
      <c r="P79" t="str">
        <f t="shared" si="3"/>
        <v>ble</v>
      </c>
    </row>
    <row r="80" spans="1:16" ht="29.4" thickBot="1">
      <c r="A80" s="1" t="s">
        <v>204</v>
      </c>
      <c r="B80" s="4">
        <v>45500</v>
      </c>
      <c r="C80" s="1" t="s">
        <v>96</v>
      </c>
      <c r="D80" s="1" t="s">
        <v>97</v>
      </c>
      <c r="E80" s="1" t="s">
        <v>17</v>
      </c>
      <c r="F80" s="1" t="s">
        <v>18</v>
      </c>
      <c r="G80" s="1" t="s">
        <v>19</v>
      </c>
      <c r="H80" s="5">
        <v>2</v>
      </c>
      <c r="I80" s="5">
        <v>249.99</v>
      </c>
      <c r="J80" s="1" t="s">
        <v>20</v>
      </c>
      <c r="K80" s="1" t="s">
        <v>40</v>
      </c>
      <c r="L80" s="1" t="s">
        <v>27</v>
      </c>
      <c r="M80" s="4">
        <v>45164</v>
      </c>
      <c r="N80" s="5">
        <v>499.98</v>
      </c>
      <c r="O80" t="str">
        <f t="shared" si="2"/>
        <v>MON</v>
      </c>
      <c r="P80" t="str">
        <f t="shared" si="3"/>
        <v>mon</v>
      </c>
    </row>
    <row r="81" spans="1:16" ht="29.4" thickBot="1">
      <c r="A81" s="1" t="s">
        <v>205</v>
      </c>
      <c r="B81" s="4">
        <v>45500</v>
      </c>
      <c r="C81" s="1" t="s">
        <v>147</v>
      </c>
      <c r="D81" s="1" t="s">
        <v>148</v>
      </c>
      <c r="E81" s="1" t="s">
        <v>105</v>
      </c>
      <c r="F81" s="1" t="s">
        <v>106</v>
      </c>
      <c r="G81" s="1" t="s">
        <v>46</v>
      </c>
      <c r="H81" s="5">
        <v>1</v>
      </c>
      <c r="I81" s="5">
        <v>299.99</v>
      </c>
      <c r="J81" s="1" t="s">
        <v>20</v>
      </c>
      <c r="K81" s="1" t="s">
        <v>35</v>
      </c>
      <c r="L81" s="1" t="s">
        <v>22</v>
      </c>
      <c r="M81" s="4">
        <v>44982</v>
      </c>
      <c r="N81" s="5">
        <v>299.99</v>
      </c>
      <c r="O81" t="str">
        <f t="shared" si="2"/>
        <v>MON</v>
      </c>
      <c r="P81" t="str">
        <f t="shared" si="3"/>
        <v>mon</v>
      </c>
    </row>
    <row r="82" spans="1:16" ht="29.4" thickBot="1">
      <c r="A82" s="1" t="s">
        <v>206</v>
      </c>
      <c r="B82" s="4">
        <v>45501</v>
      </c>
      <c r="C82" s="1" t="s">
        <v>86</v>
      </c>
      <c r="D82" s="1" t="s">
        <v>87</v>
      </c>
      <c r="E82" s="1" t="s">
        <v>117</v>
      </c>
      <c r="F82" s="1" t="s">
        <v>118</v>
      </c>
      <c r="G82" s="1" t="s">
        <v>19</v>
      </c>
      <c r="H82" s="5">
        <v>2</v>
      </c>
      <c r="I82" s="5">
        <v>89.99</v>
      </c>
      <c r="J82" s="1" t="s">
        <v>34</v>
      </c>
      <c r="K82" s="1" t="s">
        <v>35</v>
      </c>
      <c r="L82" s="1" t="s">
        <v>22</v>
      </c>
      <c r="M82" s="4">
        <v>44976</v>
      </c>
      <c r="N82" s="5">
        <v>179.98</v>
      </c>
      <c r="O82" t="str">
        <f t="shared" si="2"/>
        <v>DES</v>
      </c>
      <c r="P82" t="str">
        <f t="shared" si="3"/>
        <v>des</v>
      </c>
    </row>
    <row r="83" spans="1:16" ht="29.4" thickBot="1">
      <c r="A83" s="1" t="s">
        <v>207</v>
      </c>
      <c r="B83" s="4">
        <v>45501</v>
      </c>
      <c r="C83" s="1" t="s">
        <v>147</v>
      </c>
      <c r="D83" s="1" t="s">
        <v>148</v>
      </c>
      <c r="E83" s="1" t="s">
        <v>105</v>
      </c>
      <c r="F83" s="1" t="s">
        <v>106</v>
      </c>
      <c r="G83" s="1" t="s">
        <v>46</v>
      </c>
      <c r="H83" s="5">
        <v>3</v>
      </c>
      <c r="I83" s="5">
        <v>299.99</v>
      </c>
      <c r="J83" s="1" t="s">
        <v>20</v>
      </c>
      <c r="K83" s="1" t="s">
        <v>21</v>
      </c>
      <c r="L83" s="1" t="s">
        <v>22</v>
      </c>
      <c r="M83" s="4">
        <v>44732</v>
      </c>
      <c r="N83" s="5">
        <v>899.97</v>
      </c>
      <c r="O83" t="str">
        <f t="shared" si="2"/>
        <v>KEY</v>
      </c>
      <c r="P83" t="str">
        <f t="shared" si="3"/>
        <v>key</v>
      </c>
    </row>
    <row r="84" spans="1:16" ht="29.4" thickBot="1">
      <c r="A84" s="1" t="s">
        <v>208</v>
      </c>
      <c r="B84" s="4">
        <v>45503</v>
      </c>
      <c r="C84" s="1" t="s">
        <v>86</v>
      </c>
      <c r="D84" s="1" t="s">
        <v>87</v>
      </c>
      <c r="E84" s="1" t="s">
        <v>80</v>
      </c>
      <c r="F84" s="1" t="s">
        <v>81</v>
      </c>
      <c r="G84" s="1" t="s">
        <v>19</v>
      </c>
      <c r="H84" s="5">
        <v>2</v>
      </c>
      <c r="I84" s="5">
        <v>699.99</v>
      </c>
      <c r="J84" s="1" t="s">
        <v>26</v>
      </c>
      <c r="K84" s="1" t="s">
        <v>40</v>
      </c>
      <c r="L84" s="1" t="s">
        <v>27</v>
      </c>
      <c r="M84" s="4">
        <v>44999</v>
      </c>
      <c r="N84" s="5">
        <v>1399.98</v>
      </c>
      <c r="O84" t="str">
        <f t="shared" si="2"/>
        <v>DES</v>
      </c>
      <c r="P84" t="str">
        <f t="shared" si="3"/>
        <v>des</v>
      </c>
    </row>
    <row r="85" spans="1:16" ht="29.4" thickBot="1">
      <c r="A85" s="1" t="s">
        <v>209</v>
      </c>
      <c r="B85" s="4">
        <v>45504</v>
      </c>
      <c r="C85" s="1" t="s">
        <v>120</v>
      </c>
      <c r="D85" s="1" t="s">
        <v>121</v>
      </c>
      <c r="E85" s="1" t="s">
        <v>61</v>
      </c>
      <c r="F85" s="1" t="s">
        <v>62</v>
      </c>
      <c r="G85" s="1" t="s">
        <v>19</v>
      </c>
      <c r="H85" s="5">
        <v>4</v>
      </c>
      <c r="I85" s="5">
        <v>899.99</v>
      </c>
      <c r="J85" s="1" t="s">
        <v>57</v>
      </c>
      <c r="K85" s="1" t="s">
        <v>35</v>
      </c>
      <c r="L85" s="1" t="s">
        <v>36</v>
      </c>
      <c r="M85" s="4">
        <v>44523</v>
      </c>
      <c r="N85" s="5">
        <v>3599.96</v>
      </c>
      <c r="O85" t="str">
        <f t="shared" si="2"/>
        <v>SMA</v>
      </c>
      <c r="P85" t="str">
        <f t="shared" si="3"/>
        <v>sma</v>
      </c>
    </row>
    <row r="86" spans="1:16" ht="29.4" thickBot="1">
      <c r="A86" s="1" t="s">
        <v>210</v>
      </c>
      <c r="B86" s="4">
        <v>45509</v>
      </c>
      <c r="C86" s="1" t="s">
        <v>211</v>
      </c>
      <c r="D86" s="1" t="s">
        <v>212</v>
      </c>
      <c r="E86" s="1" t="s">
        <v>44</v>
      </c>
      <c r="F86" s="1" t="s">
        <v>45</v>
      </c>
      <c r="G86" s="1" t="s">
        <v>46</v>
      </c>
      <c r="H86" s="5">
        <v>2</v>
      </c>
      <c r="I86" s="5">
        <v>149.99</v>
      </c>
      <c r="J86" s="1" t="s">
        <v>26</v>
      </c>
      <c r="K86" s="1" t="s">
        <v>50</v>
      </c>
      <c r="L86" s="1" t="s">
        <v>22</v>
      </c>
      <c r="M86" s="4">
        <v>44542</v>
      </c>
      <c r="N86" s="5">
        <v>299.98</v>
      </c>
      <c r="O86" t="str">
        <f t="shared" si="2"/>
        <v>LAP</v>
      </c>
      <c r="P86" t="str">
        <f t="shared" si="3"/>
        <v>lap</v>
      </c>
    </row>
    <row r="87" spans="1:16" ht="29.4" thickBot="1">
      <c r="A87" s="1" t="s">
        <v>213</v>
      </c>
      <c r="B87" s="4">
        <v>45510</v>
      </c>
      <c r="C87" s="1" t="s">
        <v>102</v>
      </c>
      <c r="D87" s="1" t="s">
        <v>103</v>
      </c>
      <c r="E87" s="1" t="s">
        <v>44</v>
      </c>
      <c r="F87" s="1" t="s">
        <v>45</v>
      </c>
      <c r="G87" s="1" t="s">
        <v>46</v>
      </c>
      <c r="H87" s="5">
        <v>2</v>
      </c>
      <c r="I87" s="5">
        <v>149.99</v>
      </c>
      <c r="J87" s="1" t="s">
        <v>57</v>
      </c>
      <c r="K87" s="1" t="s">
        <v>63</v>
      </c>
      <c r="L87" s="1" t="s">
        <v>36</v>
      </c>
      <c r="M87" s="4">
        <v>44667</v>
      </c>
      <c r="N87" s="5">
        <v>299.98</v>
      </c>
      <c r="O87" t="str">
        <f t="shared" si="2"/>
        <v>BOO</v>
      </c>
      <c r="P87" t="str">
        <f t="shared" si="3"/>
        <v>boo</v>
      </c>
    </row>
    <row r="88" spans="1:16" ht="29.4" thickBot="1">
      <c r="A88" s="1" t="s">
        <v>214</v>
      </c>
      <c r="B88" s="4">
        <v>45513</v>
      </c>
      <c r="C88" s="1" t="s">
        <v>89</v>
      </c>
      <c r="D88" s="1" t="s">
        <v>90</v>
      </c>
      <c r="E88" s="1" t="s">
        <v>117</v>
      </c>
      <c r="F88" s="1" t="s">
        <v>118</v>
      </c>
      <c r="G88" s="1" t="s">
        <v>19</v>
      </c>
      <c r="H88" s="5">
        <v>1</v>
      </c>
      <c r="I88" s="5">
        <v>89.99</v>
      </c>
      <c r="J88" s="1" t="s">
        <v>26</v>
      </c>
      <c r="K88" s="1" t="s">
        <v>40</v>
      </c>
      <c r="L88" s="1" t="s">
        <v>36</v>
      </c>
      <c r="M88" s="4">
        <v>45393</v>
      </c>
      <c r="N88" s="5">
        <v>89.99</v>
      </c>
      <c r="O88" t="str">
        <f t="shared" si="2"/>
        <v>BOO</v>
      </c>
      <c r="P88" t="str">
        <f t="shared" si="3"/>
        <v>boo</v>
      </c>
    </row>
    <row r="89" spans="1:16" ht="29.4" thickBot="1">
      <c r="A89" s="1" t="s">
        <v>215</v>
      </c>
      <c r="B89" s="4">
        <v>45515</v>
      </c>
      <c r="C89" s="1" t="s">
        <v>86</v>
      </c>
      <c r="D89" s="1" t="s">
        <v>87</v>
      </c>
      <c r="E89" s="1" t="s">
        <v>105</v>
      </c>
      <c r="F89" s="1" t="s">
        <v>106</v>
      </c>
      <c r="G89" s="1" t="s">
        <v>46</v>
      </c>
      <c r="H89" s="5">
        <v>5</v>
      </c>
      <c r="I89" s="5">
        <v>299.99</v>
      </c>
      <c r="J89" s="1" t="s">
        <v>26</v>
      </c>
      <c r="K89" s="1" t="s">
        <v>40</v>
      </c>
      <c r="L89" s="1" t="s">
        <v>22</v>
      </c>
      <c r="M89" s="4">
        <v>44965</v>
      </c>
      <c r="N89" s="5">
        <v>1499.95</v>
      </c>
      <c r="O89" t="str">
        <f t="shared" si="2"/>
        <v>KEY</v>
      </c>
      <c r="P89" t="str">
        <f t="shared" si="3"/>
        <v>key</v>
      </c>
    </row>
    <row r="90" spans="1:16" ht="29.4" thickBot="1">
      <c r="A90" s="1" t="s">
        <v>216</v>
      </c>
      <c r="B90" s="4">
        <v>45517</v>
      </c>
      <c r="C90" s="1" t="s">
        <v>182</v>
      </c>
      <c r="D90" s="1" t="s">
        <v>183</v>
      </c>
      <c r="E90" s="1" t="s">
        <v>52</v>
      </c>
      <c r="F90" s="1" t="s">
        <v>53</v>
      </c>
      <c r="G90" s="1" t="s">
        <v>19</v>
      </c>
      <c r="H90" s="5">
        <v>4</v>
      </c>
      <c r="I90" s="5">
        <v>149.99</v>
      </c>
      <c r="J90" s="1" t="s">
        <v>57</v>
      </c>
      <c r="K90" s="1" t="s">
        <v>35</v>
      </c>
      <c r="L90" s="1" t="s">
        <v>27</v>
      </c>
      <c r="M90" s="4">
        <v>44820</v>
      </c>
      <c r="N90" s="5">
        <v>599.96</v>
      </c>
      <c r="O90" t="str">
        <f t="shared" si="2"/>
        <v>DES</v>
      </c>
      <c r="P90" t="str">
        <f t="shared" si="3"/>
        <v>des</v>
      </c>
    </row>
    <row r="91" spans="1:16" ht="29.4" thickBot="1">
      <c r="A91" s="1" t="s">
        <v>217</v>
      </c>
      <c r="B91" s="4">
        <v>45517</v>
      </c>
      <c r="C91" s="1" t="s">
        <v>185</v>
      </c>
      <c r="D91" s="1" t="s">
        <v>186</v>
      </c>
      <c r="E91" s="1" t="s">
        <v>17</v>
      </c>
      <c r="F91" s="1" t="s">
        <v>18</v>
      </c>
      <c r="G91" s="1" t="s">
        <v>19</v>
      </c>
      <c r="H91" s="5">
        <v>5</v>
      </c>
      <c r="I91" s="5">
        <v>249.99</v>
      </c>
      <c r="J91" s="1" t="s">
        <v>34</v>
      </c>
      <c r="K91" s="1" t="s">
        <v>63</v>
      </c>
      <c r="L91" s="1" t="s">
        <v>27</v>
      </c>
      <c r="M91" s="4">
        <v>44782</v>
      </c>
      <c r="N91" s="5">
        <v>1249.95</v>
      </c>
      <c r="O91" t="str">
        <f t="shared" si="2"/>
        <v>HEA</v>
      </c>
      <c r="P91" t="str">
        <f t="shared" si="3"/>
        <v>hea</v>
      </c>
    </row>
    <row r="92" spans="1:16" ht="29.4" thickBot="1">
      <c r="A92" s="1" t="s">
        <v>218</v>
      </c>
      <c r="B92" s="4">
        <v>45517</v>
      </c>
      <c r="C92" s="1" t="s">
        <v>65</v>
      </c>
      <c r="D92" s="1" t="s">
        <v>66</v>
      </c>
      <c r="E92" s="1" t="s">
        <v>17</v>
      </c>
      <c r="F92" s="1" t="s">
        <v>18</v>
      </c>
      <c r="G92" s="1" t="s">
        <v>19</v>
      </c>
      <c r="H92" s="5">
        <v>3</v>
      </c>
      <c r="I92" s="5">
        <v>249.99</v>
      </c>
      <c r="J92" s="1" t="s">
        <v>34</v>
      </c>
      <c r="K92" s="1" t="s">
        <v>40</v>
      </c>
      <c r="L92" s="1" t="s">
        <v>27</v>
      </c>
      <c r="M92" s="4">
        <v>44465</v>
      </c>
      <c r="N92" s="5">
        <v>749.97</v>
      </c>
      <c r="O92" t="str">
        <f t="shared" si="2"/>
        <v>MON</v>
      </c>
      <c r="P92" t="str">
        <f t="shared" si="3"/>
        <v>mon</v>
      </c>
    </row>
    <row r="93" spans="1:16" ht="29.4" thickBot="1">
      <c r="A93" s="1" t="s">
        <v>219</v>
      </c>
      <c r="B93" s="4">
        <v>45517</v>
      </c>
      <c r="C93" s="1" t="s">
        <v>38</v>
      </c>
      <c r="D93" s="1" t="s">
        <v>39</v>
      </c>
      <c r="E93" s="1" t="s">
        <v>126</v>
      </c>
      <c r="F93" s="1" t="s">
        <v>127</v>
      </c>
      <c r="G93" s="1" t="s">
        <v>46</v>
      </c>
      <c r="H93" s="5">
        <v>4</v>
      </c>
      <c r="I93" s="5">
        <v>199.99</v>
      </c>
      <c r="J93" s="1" t="s">
        <v>20</v>
      </c>
      <c r="K93" s="1" t="s">
        <v>40</v>
      </c>
      <c r="L93" s="1" t="s">
        <v>36</v>
      </c>
      <c r="M93" s="4">
        <v>44458</v>
      </c>
      <c r="N93" s="5">
        <v>799.96</v>
      </c>
      <c r="O93" t="str">
        <f t="shared" si="2"/>
        <v>MON</v>
      </c>
      <c r="P93" t="str">
        <f t="shared" si="3"/>
        <v>mon</v>
      </c>
    </row>
    <row r="94" spans="1:16" ht="29.4" thickBot="1">
      <c r="A94" s="1" t="s">
        <v>220</v>
      </c>
      <c r="B94" s="4">
        <v>45519</v>
      </c>
      <c r="C94" s="1" t="s">
        <v>158</v>
      </c>
      <c r="D94" s="1" t="s">
        <v>159</v>
      </c>
      <c r="E94" s="1" t="s">
        <v>126</v>
      </c>
      <c r="F94" s="1" t="s">
        <v>127</v>
      </c>
      <c r="G94" s="1" t="s">
        <v>46</v>
      </c>
      <c r="H94" s="5">
        <v>5</v>
      </c>
      <c r="I94" s="5">
        <v>199.99</v>
      </c>
      <c r="J94" s="1" t="s">
        <v>20</v>
      </c>
      <c r="K94" s="1" t="s">
        <v>40</v>
      </c>
      <c r="L94" s="1" t="s">
        <v>27</v>
      </c>
      <c r="M94" s="4">
        <v>44991</v>
      </c>
      <c r="N94" s="5">
        <v>999.95</v>
      </c>
      <c r="O94" t="str">
        <f t="shared" si="2"/>
        <v>OFF</v>
      </c>
      <c r="P94" t="str">
        <f t="shared" si="3"/>
        <v>off</v>
      </c>
    </row>
    <row r="95" spans="1:16" ht="29.4" thickBot="1">
      <c r="A95" s="1" t="s">
        <v>221</v>
      </c>
      <c r="B95" s="4">
        <v>45522</v>
      </c>
      <c r="C95" s="1" t="s">
        <v>86</v>
      </c>
      <c r="D95" s="1" t="s">
        <v>87</v>
      </c>
      <c r="E95" s="1" t="s">
        <v>117</v>
      </c>
      <c r="F95" s="1" t="s">
        <v>118</v>
      </c>
      <c r="G95" s="1" t="s">
        <v>19</v>
      </c>
      <c r="H95" s="5">
        <v>2</v>
      </c>
      <c r="I95" s="5">
        <v>89.99</v>
      </c>
      <c r="J95" s="1" t="s">
        <v>20</v>
      </c>
      <c r="K95" s="1" t="s">
        <v>63</v>
      </c>
      <c r="L95" s="1" t="s">
        <v>27</v>
      </c>
      <c r="M95" s="4">
        <v>44972</v>
      </c>
      <c r="N95" s="5">
        <v>179.98</v>
      </c>
      <c r="O95" t="str">
        <f t="shared" si="2"/>
        <v>OFF</v>
      </c>
      <c r="P95" t="str">
        <f t="shared" si="3"/>
        <v>off</v>
      </c>
    </row>
    <row r="96" spans="1:16" ht="29.4" thickBot="1">
      <c r="A96" s="1" t="s">
        <v>222</v>
      </c>
      <c r="B96" s="4">
        <v>45523</v>
      </c>
      <c r="C96" s="1" t="s">
        <v>196</v>
      </c>
      <c r="D96" s="1" t="s">
        <v>197</v>
      </c>
      <c r="E96" s="1" t="s">
        <v>61</v>
      </c>
      <c r="F96" s="1" t="s">
        <v>62</v>
      </c>
      <c r="G96" s="1" t="s">
        <v>19</v>
      </c>
      <c r="H96" s="5">
        <v>5</v>
      </c>
      <c r="I96" s="5">
        <v>899.99</v>
      </c>
      <c r="J96" s="1" t="s">
        <v>57</v>
      </c>
      <c r="K96" s="1" t="s">
        <v>63</v>
      </c>
      <c r="L96" s="1" t="s">
        <v>22</v>
      </c>
      <c r="M96" s="4">
        <v>44526</v>
      </c>
      <c r="N96" s="5">
        <v>4499.95</v>
      </c>
      <c r="O96" t="str">
        <f t="shared" si="2"/>
        <v>KEY</v>
      </c>
      <c r="P96" t="str">
        <f t="shared" si="3"/>
        <v>key</v>
      </c>
    </row>
    <row r="97" spans="1:16" ht="29.4" thickBot="1">
      <c r="A97" s="1" t="s">
        <v>223</v>
      </c>
      <c r="B97" s="4">
        <v>45523</v>
      </c>
      <c r="C97" s="1" t="s">
        <v>108</v>
      </c>
      <c r="D97" s="1" t="s">
        <v>109</v>
      </c>
      <c r="E97" s="1" t="s">
        <v>52</v>
      </c>
      <c r="F97" s="1" t="s">
        <v>53</v>
      </c>
      <c r="G97" s="1" t="s">
        <v>19</v>
      </c>
      <c r="H97" s="5">
        <v>3</v>
      </c>
      <c r="I97" s="5">
        <v>149.99</v>
      </c>
      <c r="J97" s="1" t="s">
        <v>34</v>
      </c>
      <c r="K97" s="1" t="s">
        <v>63</v>
      </c>
      <c r="L97" s="1" t="s">
        <v>22</v>
      </c>
      <c r="M97" s="4">
        <v>44574</v>
      </c>
      <c r="N97" s="5">
        <v>449.97</v>
      </c>
      <c r="O97" t="str">
        <f t="shared" si="2"/>
        <v>LAP</v>
      </c>
      <c r="P97" t="str">
        <f t="shared" si="3"/>
        <v>lap</v>
      </c>
    </row>
    <row r="98" spans="1:16" ht="29.4" thickBot="1">
      <c r="A98" s="1" t="s">
        <v>224</v>
      </c>
      <c r="B98" s="4">
        <v>45526</v>
      </c>
      <c r="C98" s="1" t="s">
        <v>102</v>
      </c>
      <c r="D98" s="1" t="s">
        <v>103</v>
      </c>
      <c r="E98" s="1" t="s">
        <v>44</v>
      </c>
      <c r="F98" s="1" t="s">
        <v>45</v>
      </c>
      <c r="G98" s="1" t="s">
        <v>46</v>
      </c>
      <c r="H98" s="5">
        <v>5</v>
      </c>
      <c r="I98" s="5">
        <v>149.99</v>
      </c>
      <c r="J98" s="1" t="s">
        <v>26</v>
      </c>
      <c r="K98" s="1" t="s">
        <v>21</v>
      </c>
      <c r="L98" s="1" t="s">
        <v>22</v>
      </c>
      <c r="M98" s="4">
        <v>45310</v>
      </c>
      <c r="N98" s="5">
        <v>749.95</v>
      </c>
      <c r="O98" t="str">
        <f t="shared" si="2"/>
        <v>HEA</v>
      </c>
      <c r="P98" t="str">
        <f t="shared" si="3"/>
        <v>hea</v>
      </c>
    </row>
    <row r="99" spans="1:16" ht="29.4" thickBot="1">
      <c r="A99" s="1" t="s">
        <v>225</v>
      </c>
      <c r="B99" s="4">
        <v>45528</v>
      </c>
      <c r="C99" s="1" t="s">
        <v>226</v>
      </c>
      <c r="D99" s="1" t="s">
        <v>227</v>
      </c>
      <c r="E99" s="1" t="s">
        <v>114</v>
      </c>
      <c r="F99" s="1" t="s">
        <v>115</v>
      </c>
      <c r="G99" s="1" t="s">
        <v>33</v>
      </c>
      <c r="H99" s="5">
        <v>3</v>
      </c>
      <c r="I99" s="5">
        <v>79.989999999999995</v>
      </c>
      <c r="J99" s="1" t="s">
        <v>20</v>
      </c>
      <c r="K99" s="1" t="s">
        <v>21</v>
      </c>
      <c r="L99" s="1" t="s">
        <v>27</v>
      </c>
      <c r="M99" s="4">
        <v>44779</v>
      </c>
      <c r="N99" s="5">
        <v>239.97</v>
      </c>
      <c r="O99" t="str">
        <f t="shared" si="2"/>
        <v>BOO</v>
      </c>
      <c r="P99" t="str">
        <f t="shared" si="3"/>
        <v>boo</v>
      </c>
    </row>
    <row r="100" spans="1:16" ht="29.4" thickBot="1">
      <c r="A100" s="1" t="s">
        <v>228</v>
      </c>
      <c r="B100" s="4">
        <v>45528</v>
      </c>
      <c r="C100" s="1" t="s">
        <v>144</v>
      </c>
      <c r="D100" s="1" t="s">
        <v>145</v>
      </c>
      <c r="E100" s="1" t="s">
        <v>17</v>
      </c>
      <c r="F100" s="1" t="s">
        <v>18</v>
      </c>
      <c r="G100" s="1" t="s">
        <v>19</v>
      </c>
      <c r="H100" s="5">
        <v>2</v>
      </c>
      <c r="I100" s="5">
        <v>249.99</v>
      </c>
      <c r="J100" s="1" t="s">
        <v>20</v>
      </c>
      <c r="K100" s="1" t="s">
        <v>35</v>
      </c>
      <c r="L100" s="1" t="s">
        <v>36</v>
      </c>
      <c r="M100" s="4">
        <v>44572</v>
      </c>
      <c r="N100" s="5">
        <v>499.98</v>
      </c>
      <c r="O100" t="str">
        <f t="shared" si="2"/>
        <v>COF</v>
      </c>
      <c r="P100" t="str">
        <f t="shared" si="3"/>
        <v>cof</v>
      </c>
    </row>
    <row r="101" spans="1:16" ht="29.4" thickBot="1">
      <c r="A101" s="1" t="s">
        <v>229</v>
      </c>
      <c r="B101" s="4">
        <v>45532</v>
      </c>
      <c r="C101" s="1" t="s">
        <v>196</v>
      </c>
      <c r="D101" s="1" t="s">
        <v>197</v>
      </c>
      <c r="E101" s="1" t="s">
        <v>80</v>
      </c>
      <c r="F101" s="1" t="s">
        <v>81</v>
      </c>
      <c r="G101" s="1" t="s">
        <v>19</v>
      </c>
      <c r="H101" s="5">
        <v>1</v>
      </c>
      <c r="I101" s="5">
        <v>699.99</v>
      </c>
      <c r="J101" s="1" t="s">
        <v>20</v>
      </c>
      <c r="K101" s="1" t="s">
        <v>21</v>
      </c>
      <c r="L101" s="1" t="s">
        <v>27</v>
      </c>
      <c r="M101" s="4">
        <v>44497</v>
      </c>
      <c r="N101" s="5">
        <v>699.99</v>
      </c>
      <c r="O101" t="str">
        <f t="shared" si="2"/>
        <v>MON</v>
      </c>
      <c r="P101" t="str">
        <f t="shared" si="3"/>
        <v>mon</v>
      </c>
    </row>
    <row r="102" spans="1:16" ht="29.4" thickBot="1">
      <c r="A102" s="1" t="s">
        <v>230</v>
      </c>
      <c r="B102" s="4">
        <v>45532</v>
      </c>
      <c r="C102" s="1" t="s">
        <v>231</v>
      </c>
      <c r="D102" s="1" t="s">
        <v>232</v>
      </c>
      <c r="E102" s="1" t="s">
        <v>52</v>
      </c>
      <c r="F102" s="1" t="s">
        <v>53</v>
      </c>
      <c r="G102" s="1" t="s">
        <v>19</v>
      </c>
      <c r="H102" s="5">
        <v>3</v>
      </c>
      <c r="I102" s="5">
        <v>149.99</v>
      </c>
      <c r="J102" s="1" t="s">
        <v>20</v>
      </c>
      <c r="K102" s="1" t="s">
        <v>50</v>
      </c>
      <c r="L102" s="1" t="s">
        <v>27</v>
      </c>
      <c r="M102" s="4">
        <v>45212</v>
      </c>
      <c r="N102" s="5">
        <v>449.97</v>
      </c>
      <c r="O102" t="str">
        <f t="shared" si="2"/>
        <v>SMA</v>
      </c>
      <c r="P102" t="str">
        <f t="shared" si="3"/>
        <v>sma</v>
      </c>
    </row>
    <row r="103" spans="1:16" ht="29.4" thickBot="1">
      <c r="A103" s="1" t="s">
        <v>233</v>
      </c>
      <c r="B103" s="4">
        <v>45534</v>
      </c>
      <c r="C103" s="1" t="s">
        <v>234</v>
      </c>
      <c r="D103" s="1" t="s">
        <v>235</v>
      </c>
      <c r="E103" s="1" t="s">
        <v>80</v>
      </c>
      <c r="F103" s="1" t="s">
        <v>81</v>
      </c>
      <c r="G103" s="1" t="s">
        <v>19</v>
      </c>
      <c r="H103" s="5">
        <v>2</v>
      </c>
      <c r="I103" s="5">
        <v>699.99</v>
      </c>
      <c r="J103" s="1" t="s">
        <v>26</v>
      </c>
      <c r="K103" s="1" t="s">
        <v>40</v>
      </c>
      <c r="L103" s="1" t="s">
        <v>27</v>
      </c>
      <c r="M103" s="4">
        <v>44421</v>
      </c>
      <c r="N103" s="5">
        <v>1399.98</v>
      </c>
      <c r="O103" t="str">
        <f t="shared" si="2"/>
        <v>HEA</v>
      </c>
      <c r="P103" t="str">
        <f t="shared" si="3"/>
        <v>hea</v>
      </c>
    </row>
    <row r="104" spans="1:16" ht="29.4" thickBot="1">
      <c r="A104" s="1" t="s">
        <v>236</v>
      </c>
      <c r="B104" s="4">
        <v>45537</v>
      </c>
      <c r="C104" s="1" t="s">
        <v>231</v>
      </c>
      <c r="D104" s="1" t="s">
        <v>232</v>
      </c>
      <c r="E104" s="1" t="s">
        <v>17</v>
      </c>
      <c r="F104" s="1" t="s">
        <v>18</v>
      </c>
      <c r="G104" s="1" t="s">
        <v>19</v>
      </c>
      <c r="H104" s="5">
        <v>1</v>
      </c>
      <c r="I104" s="5">
        <v>249.99</v>
      </c>
      <c r="J104" s="1" t="s">
        <v>26</v>
      </c>
      <c r="K104" s="1" t="s">
        <v>50</v>
      </c>
      <c r="L104" s="1" t="s">
        <v>27</v>
      </c>
      <c r="M104" s="4">
        <v>44685</v>
      </c>
      <c r="N104" s="5">
        <v>249.99</v>
      </c>
      <c r="O104" t="str">
        <f t="shared" si="2"/>
        <v>SMA</v>
      </c>
      <c r="P104" t="str">
        <f t="shared" si="3"/>
        <v>sma</v>
      </c>
    </row>
    <row r="105" spans="1:16" ht="29.4" thickBot="1">
      <c r="A105" s="1" t="s">
        <v>237</v>
      </c>
      <c r="B105" s="4">
        <v>45537</v>
      </c>
      <c r="C105" s="1" t="s">
        <v>15</v>
      </c>
      <c r="D105" s="1" t="s">
        <v>16</v>
      </c>
      <c r="E105" s="1" t="s">
        <v>17</v>
      </c>
      <c r="F105" s="1" t="s">
        <v>18</v>
      </c>
      <c r="G105" s="1" t="s">
        <v>19</v>
      </c>
      <c r="H105" s="5">
        <v>1</v>
      </c>
      <c r="I105" s="5">
        <v>249.99</v>
      </c>
      <c r="J105" s="1" t="s">
        <v>57</v>
      </c>
      <c r="K105" s="1" t="s">
        <v>40</v>
      </c>
      <c r="L105" s="1" t="s">
        <v>27</v>
      </c>
      <c r="M105" s="4">
        <v>45332</v>
      </c>
      <c r="N105" s="5">
        <v>249.99</v>
      </c>
      <c r="O105" t="str">
        <f t="shared" si="2"/>
        <v>MON</v>
      </c>
      <c r="P105" t="str">
        <f t="shared" si="3"/>
        <v>mon</v>
      </c>
    </row>
    <row r="106" spans="1:16" ht="29.4" thickBot="1">
      <c r="A106" s="1" t="s">
        <v>238</v>
      </c>
      <c r="B106" s="4">
        <v>45538</v>
      </c>
      <c r="C106" s="1" t="s">
        <v>226</v>
      </c>
      <c r="D106" s="1" t="s">
        <v>227</v>
      </c>
      <c r="E106" s="1" t="s">
        <v>80</v>
      </c>
      <c r="F106" s="1" t="s">
        <v>81</v>
      </c>
      <c r="G106" s="1" t="s">
        <v>19</v>
      </c>
      <c r="H106" s="5">
        <v>2</v>
      </c>
      <c r="I106" s="5">
        <v>699.99</v>
      </c>
      <c r="J106" s="1" t="s">
        <v>57</v>
      </c>
      <c r="K106" s="1" t="s">
        <v>21</v>
      </c>
      <c r="L106" s="1" t="s">
        <v>27</v>
      </c>
      <c r="M106" s="4">
        <v>44870</v>
      </c>
      <c r="N106" s="5">
        <v>1399.98</v>
      </c>
      <c r="O106" t="str">
        <f t="shared" si="2"/>
        <v>MON</v>
      </c>
      <c r="P106" t="str">
        <f t="shared" si="3"/>
        <v>mon</v>
      </c>
    </row>
    <row r="107" spans="1:16" ht="29.4" thickBot="1">
      <c r="A107" s="1" t="s">
        <v>239</v>
      </c>
      <c r="B107" s="4">
        <v>45541</v>
      </c>
      <c r="C107" s="1" t="s">
        <v>138</v>
      </c>
      <c r="D107" s="1" t="s">
        <v>139</v>
      </c>
      <c r="E107" s="1" t="s">
        <v>31</v>
      </c>
      <c r="F107" s="1" t="s">
        <v>32</v>
      </c>
      <c r="G107" s="1" t="s">
        <v>33</v>
      </c>
      <c r="H107" s="5">
        <v>3</v>
      </c>
      <c r="I107" s="5">
        <v>59.99</v>
      </c>
      <c r="J107" s="1" t="s">
        <v>26</v>
      </c>
      <c r="K107" s="1" t="s">
        <v>21</v>
      </c>
      <c r="L107" s="1" t="s">
        <v>27</v>
      </c>
      <c r="M107" s="4">
        <v>44717</v>
      </c>
      <c r="N107" s="5">
        <v>179.97</v>
      </c>
      <c r="O107" t="str">
        <f t="shared" si="2"/>
        <v>SMA</v>
      </c>
      <c r="P107" t="str">
        <f t="shared" si="3"/>
        <v>sma</v>
      </c>
    </row>
    <row r="108" spans="1:16" ht="29.4" thickBot="1">
      <c r="A108" s="1" t="s">
        <v>240</v>
      </c>
      <c r="B108" s="4">
        <v>45544</v>
      </c>
      <c r="C108" s="1" t="s">
        <v>132</v>
      </c>
      <c r="D108" s="1" t="s">
        <v>133</v>
      </c>
      <c r="E108" s="1" t="s">
        <v>31</v>
      </c>
      <c r="F108" s="1" t="s">
        <v>32</v>
      </c>
      <c r="G108" s="1" t="s">
        <v>33</v>
      </c>
      <c r="H108" s="5">
        <v>3</v>
      </c>
      <c r="I108" s="5">
        <v>59.99</v>
      </c>
      <c r="J108" s="1" t="s">
        <v>34</v>
      </c>
      <c r="K108" s="1" t="s">
        <v>63</v>
      </c>
      <c r="L108" s="1" t="s">
        <v>36</v>
      </c>
      <c r="M108" s="4">
        <v>44748</v>
      </c>
      <c r="N108" s="5">
        <v>179.97</v>
      </c>
      <c r="O108" t="str">
        <f t="shared" si="2"/>
        <v>BLE</v>
      </c>
      <c r="P108" t="str">
        <f t="shared" si="3"/>
        <v>ble</v>
      </c>
    </row>
    <row r="109" spans="1:16" ht="29.4" thickBot="1">
      <c r="A109" s="1" t="s">
        <v>241</v>
      </c>
      <c r="B109" s="4">
        <v>45544</v>
      </c>
      <c r="C109" s="1" t="s">
        <v>141</v>
      </c>
      <c r="D109" s="1" t="s">
        <v>142</v>
      </c>
      <c r="E109" s="1" t="s">
        <v>114</v>
      </c>
      <c r="F109" s="1" t="s">
        <v>115</v>
      </c>
      <c r="G109" s="1" t="s">
        <v>33</v>
      </c>
      <c r="H109" s="5">
        <v>4</v>
      </c>
      <c r="I109" s="5">
        <v>79.989999999999995</v>
      </c>
      <c r="J109" s="1" t="s">
        <v>20</v>
      </c>
      <c r="K109" s="1" t="s">
        <v>40</v>
      </c>
      <c r="L109" s="1" t="s">
        <v>22</v>
      </c>
      <c r="M109" s="4">
        <v>44530</v>
      </c>
      <c r="N109" s="5">
        <v>319.95999999999998</v>
      </c>
      <c r="O109" t="str">
        <f t="shared" si="2"/>
        <v>BLE</v>
      </c>
      <c r="P109" t="str">
        <f t="shared" si="3"/>
        <v>ble</v>
      </c>
    </row>
    <row r="110" spans="1:16" ht="29.4" thickBot="1">
      <c r="A110" s="1" t="s">
        <v>242</v>
      </c>
      <c r="B110" s="4">
        <v>45545</v>
      </c>
      <c r="C110" s="1" t="s">
        <v>55</v>
      </c>
      <c r="D110" s="1" t="s">
        <v>56</v>
      </c>
      <c r="E110" s="1" t="s">
        <v>114</v>
      </c>
      <c r="F110" s="1" t="s">
        <v>115</v>
      </c>
      <c r="G110" s="1" t="s">
        <v>33</v>
      </c>
      <c r="H110" s="5">
        <v>1</v>
      </c>
      <c r="I110" s="5">
        <v>79.989999999999995</v>
      </c>
      <c r="J110" s="1" t="s">
        <v>20</v>
      </c>
      <c r="K110" s="1" t="s">
        <v>50</v>
      </c>
      <c r="L110" s="1" t="s">
        <v>22</v>
      </c>
      <c r="M110" s="4">
        <v>44693</v>
      </c>
      <c r="N110" s="5">
        <v>79.989999999999995</v>
      </c>
      <c r="O110" t="str">
        <f t="shared" si="2"/>
        <v>COF</v>
      </c>
      <c r="P110" t="str">
        <f t="shared" si="3"/>
        <v>cof</v>
      </c>
    </row>
    <row r="111" spans="1:16" ht="29.4" thickBot="1">
      <c r="A111" s="1" t="s">
        <v>243</v>
      </c>
      <c r="B111" s="4">
        <v>45547</v>
      </c>
      <c r="C111" s="1" t="s">
        <v>48</v>
      </c>
      <c r="D111" s="1" t="s">
        <v>49</v>
      </c>
      <c r="E111" s="1" t="s">
        <v>105</v>
      </c>
      <c r="F111" s="1" t="s">
        <v>106</v>
      </c>
      <c r="G111" s="1" t="s">
        <v>46</v>
      </c>
      <c r="H111" s="5">
        <v>3</v>
      </c>
      <c r="I111" s="5">
        <v>299.99</v>
      </c>
      <c r="J111" s="1" t="s">
        <v>26</v>
      </c>
      <c r="K111" s="1" t="s">
        <v>21</v>
      </c>
      <c r="L111" s="1" t="s">
        <v>27</v>
      </c>
      <c r="M111" s="4">
        <v>44494</v>
      </c>
      <c r="N111" s="5">
        <v>899.97</v>
      </c>
      <c r="O111" t="str">
        <f t="shared" si="2"/>
        <v>COF</v>
      </c>
      <c r="P111" t="str">
        <f t="shared" si="3"/>
        <v>cof</v>
      </c>
    </row>
    <row r="112" spans="1:16" ht="29.4" thickBot="1">
      <c r="A112" s="1" t="s">
        <v>244</v>
      </c>
      <c r="B112" s="4">
        <v>45548</v>
      </c>
      <c r="C112" s="1" t="s">
        <v>38</v>
      </c>
      <c r="D112" s="1" t="s">
        <v>39</v>
      </c>
      <c r="E112" s="1" t="s">
        <v>117</v>
      </c>
      <c r="F112" s="1" t="s">
        <v>118</v>
      </c>
      <c r="G112" s="1" t="s">
        <v>19</v>
      </c>
      <c r="H112" s="5">
        <v>2</v>
      </c>
      <c r="I112" s="5">
        <v>89.99</v>
      </c>
      <c r="J112" s="1" t="s">
        <v>26</v>
      </c>
      <c r="K112" s="1" t="s">
        <v>35</v>
      </c>
      <c r="L112" s="1" t="s">
        <v>27</v>
      </c>
      <c r="M112" s="4">
        <v>44641</v>
      </c>
      <c r="N112" s="5">
        <v>179.98</v>
      </c>
      <c r="O112" t="str">
        <f t="shared" si="2"/>
        <v>DES</v>
      </c>
      <c r="P112" t="str">
        <f t="shared" si="3"/>
        <v>des</v>
      </c>
    </row>
    <row r="113" spans="1:16" ht="29.4" thickBot="1">
      <c r="A113" s="1" t="s">
        <v>245</v>
      </c>
      <c r="B113" s="4">
        <v>45550</v>
      </c>
      <c r="C113" s="1" t="s">
        <v>246</v>
      </c>
      <c r="D113" s="1" t="s">
        <v>247</v>
      </c>
      <c r="E113" s="1" t="s">
        <v>52</v>
      </c>
      <c r="F113" s="1" t="s">
        <v>53</v>
      </c>
      <c r="G113" s="1" t="s">
        <v>19</v>
      </c>
      <c r="H113" s="5">
        <v>4</v>
      </c>
      <c r="I113" s="5">
        <v>149.99</v>
      </c>
      <c r="J113" s="1" t="s">
        <v>20</v>
      </c>
      <c r="K113" s="1" t="s">
        <v>40</v>
      </c>
      <c r="L113" s="1" t="s">
        <v>22</v>
      </c>
      <c r="M113" s="4">
        <v>44909</v>
      </c>
      <c r="N113" s="5">
        <v>599.96</v>
      </c>
      <c r="O113" t="str">
        <f t="shared" si="2"/>
        <v>KEY</v>
      </c>
      <c r="P113" t="str">
        <f t="shared" si="3"/>
        <v>key</v>
      </c>
    </row>
    <row r="114" spans="1:16" ht="29.4" thickBot="1">
      <c r="A114" s="1" t="s">
        <v>248</v>
      </c>
      <c r="B114" s="4">
        <v>45551</v>
      </c>
      <c r="C114" s="1" t="s">
        <v>65</v>
      </c>
      <c r="D114" s="1" t="s">
        <v>66</v>
      </c>
      <c r="E114" s="1" t="s">
        <v>17</v>
      </c>
      <c r="F114" s="1" t="s">
        <v>18</v>
      </c>
      <c r="G114" s="1" t="s">
        <v>19</v>
      </c>
      <c r="H114" s="5">
        <v>2</v>
      </c>
      <c r="I114" s="5">
        <v>249.99</v>
      </c>
      <c r="J114" s="1" t="s">
        <v>34</v>
      </c>
      <c r="K114" s="1" t="s">
        <v>35</v>
      </c>
      <c r="L114" s="1" t="s">
        <v>22</v>
      </c>
      <c r="M114" s="4">
        <v>44993</v>
      </c>
      <c r="N114" s="5">
        <v>499.98</v>
      </c>
      <c r="O114" t="str">
        <f t="shared" si="2"/>
        <v>HEA</v>
      </c>
      <c r="P114" t="str">
        <f t="shared" si="3"/>
        <v>hea</v>
      </c>
    </row>
    <row r="115" spans="1:16" ht="29.4" thickBot="1">
      <c r="A115" s="1" t="s">
        <v>249</v>
      </c>
      <c r="B115" s="4">
        <v>45551</v>
      </c>
      <c r="C115" s="1" t="s">
        <v>154</v>
      </c>
      <c r="D115" s="1" t="s">
        <v>155</v>
      </c>
      <c r="E115" s="1" t="s">
        <v>126</v>
      </c>
      <c r="F115" s="1" t="s">
        <v>127</v>
      </c>
      <c r="G115" s="1" t="s">
        <v>46</v>
      </c>
      <c r="H115" s="5">
        <v>4</v>
      </c>
      <c r="I115" s="5">
        <v>199.99</v>
      </c>
      <c r="J115" s="1" t="s">
        <v>57</v>
      </c>
      <c r="K115" s="1" t="s">
        <v>63</v>
      </c>
      <c r="L115" s="1" t="s">
        <v>22</v>
      </c>
      <c r="M115" s="4">
        <v>44458</v>
      </c>
      <c r="N115" s="5">
        <v>799.96</v>
      </c>
      <c r="O115" t="str">
        <f t="shared" si="2"/>
        <v>MON</v>
      </c>
      <c r="P115" t="str">
        <f t="shared" si="3"/>
        <v>mon</v>
      </c>
    </row>
    <row r="116" spans="1:16" ht="29.4" thickBot="1">
      <c r="A116" s="1" t="s">
        <v>250</v>
      </c>
      <c r="B116" s="4">
        <v>45554</v>
      </c>
      <c r="C116" s="1" t="s">
        <v>147</v>
      </c>
      <c r="D116" s="1" t="s">
        <v>148</v>
      </c>
      <c r="E116" s="1" t="s">
        <v>117</v>
      </c>
      <c r="F116" s="1" t="s">
        <v>118</v>
      </c>
      <c r="G116" s="1" t="s">
        <v>19</v>
      </c>
      <c r="H116" s="5">
        <v>5</v>
      </c>
      <c r="I116" s="5">
        <v>89.99</v>
      </c>
      <c r="J116" s="1" t="s">
        <v>26</v>
      </c>
      <c r="K116" s="1" t="s">
        <v>63</v>
      </c>
      <c r="L116" s="1" t="s">
        <v>27</v>
      </c>
      <c r="M116" s="4">
        <v>44446</v>
      </c>
      <c r="N116" s="5">
        <v>449.95</v>
      </c>
      <c r="O116" t="str">
        <f t="shared" si="2"/>
        <v>OFF</v>
      </c>
      <c r="P116" t="str">
        <f t="shared" si="3"/>
        <v>off</v>
      </c>
    </row>
    <row r="117" spans="1:16" ht="29.4" thickBot="1">
      <c r="A117" s="1" t="s">
        <v>251</v>
      </c>
      <c r="B117" s="4">
        <v>45554</v>
      </c>
      <c r="C117" s="1" t="s">
        <v>252</v>
      </c>
      <c r="D117" s="1" t="s">
        <v>253</v>
      </c>
      <c r="E117" s="1" t="s">
        <v>52</v>
      </c>
      <c r="F117" s="1" t="s">
        <v>53</v>
      </c>
      <c r="G117" s="1" t="s">
        <v>19</v>
      </c>
      <c r="H117" s="5">
        <v>1</v>
      </c>
      <c r="I117" s="5">
        <v>149.99</v>
      </c>
      <c r="J117" s="1" t="s">
        <v>34</v>
      </c>
      <c r="K117" s="1" t="s">
        <v>63</v>
      </c>
      <c r="L117" s="1" t="s">
        <v>36</v>
      </c>
      <c r="M117" s="4">
        <v>44482</v>
      </c>
      <c r="N117" s="5">
        <v>149.99</v>
      </c>
      <c r="O117" t="str">
        <f t="shared" si="2"/>
        <v>KEY</v>
      </c>
      <c r="P117" t="str">
        <f t="shared" si="3"/>
        <v>key</v>
      </c>
    </row>
    <row r="118" spans="1:16" ht="43.8" thickBot="1">
      <c r="A118" s="1" t="s">
        <v>254</v>
      </c>
      <c r="B118" s="4">
        <v>45554</v>
      </c>
      <c r="C118" s="1" t="s">
        <v>72</v>
      </c>
      <c r="D118" s="1" t="s">
        <v>73</v>
      </c>
      <c r="E118" s="1" t="s">
        <v>80</v>
      </c>
      <c r="F118" s="1" t="s">
        <v>81</v>
      </c>
      <c r="G118" s="1" t="s">
        <v>19</v>
      </c>
      <c r="H118" s="5">
        <v>4</v>
      </c>
      <c r="I118" s="5">
        <v>699.99</v>
      </c>
      <c r="J118" s="1" t="s">
        <v>34</v>
      </c>
      <c r="K118" s="1" t="s">
        <v>35</v>
      </c>
      <c r="L118" s="1" t="s">
        <v>22</v>
      </c>
      <c r="M118" s="4">
        <v>44618</v>
      </c>
      <c r="N118" s="5">
        <v>2799.96</v>
      </c>
      <c r="O118" t="str">
        <f t="shared" si="2"/>
        <v>HEA</v>
      </c>
      <c r="P118" t="str">
        <f t="shared" si="3"/>
        <v>hea</v>
      </c>
    </row>
    <row r="119" spans="1:16" ht="29.4" thickBot="1">
      <c r="A119" s="1" t="s">
        <v>255</v>
      </c>
      <c r="B119" s="4">
        <v>45559</v>
      </c>
      <c r="C119" s="1" t="s">
        <v>234</v>
      </c>
      <c r="D119" s="1" t="s">
        <v>235</v>
      </c>
      <c r="E119" s="1" t="s">
        <v>61</v>
      </c>
      <c r="F119" s="1" t="s">
        <v>62</v>
      </c>
      <c r="G119" s="1" t="s">
        <v>19</v>
      </c>
      <c r="H119" s="5">
        <v>3</v>
      </c>
      <c r="I119" s="5">
        <v>899.99</v>
      </c>
      <c r="J119" s="1" t="s">
        <v>26</v>
      </c>
      <c r="K119" s="1" t="s">
        <v>40</v>
      </c>
      <c r="L119" s="1" t="s">
        <v>36</v>
      </c>
      <c r="M119" s="4">
        <v>45157</v>
      </c>
      <c r="N119" s="5">
        <v>2699.97</v>
      </c>
      <c r="O119" t="str">
        <f t="shared" si="2"/>
        <v>SMA</v>
      </c>
      <c r="P119" t="str">
        <f t="shared" si="3"/>
        <v>sma</v>
      </c>
    </row>
    <row r="120" spans="1:16" ht="29.4" thickBot="1">
      <c r="A120" s="1" t="s">
        <v>256</v>
      </c>
      <c r="B120" s="4">
        <v>45560</v>
      </c>
      <c r="C120" s="1" t="s">
        <v>112</v>
      </c>
      <c r="D120" s="1" t="s">
        <v>113</v>
      </c>
      <c r="E120" s="1" t="s">
        <v>44</v>
      </c>
      <c r="F120" s="1" t="s">
        <v>45</v>
      </c>
      <c r="G120" s="1" t="s">
        <v>46</v>
      </c>
      <c r="H120" s="5">
        <v>3</v>
      </c>
      <c r="I120" s="5">
        <v>149.99</v>
      </c>
      <c r="J120" s="1" t="s">
        <v>34</v>
      </c>
      <c r="K120" s="1" t="s">
        <v>63</v>
      </c>
      <c r="L120" s="1" t="s">
        <v>22</v>
      </c>
      <c r="M120" s="4">
        <v>44886</v>
      </c>
      <c r="N120" s="5">
        <v>449.97</v>
      </c>
      <c r="O120" t="str">
        <f t="shared" si="2"/>
        <v>LAP</v>
      </c>
      <c r="P120" t="str">
        <f t="shared" si="3"/>
        <v>lap</v>
      </c>
    </row>
    <row r="121" spans="1:16" ht="29.4" thickBot="1">
      <c r="A121" s="1" t="s">
        <v>257</v>
      </c>
      <c r="B121" s="4">
        <v>45563</v>
      </c>
      <c r="C121" s="1" t="s">
        <v>99</v>
      </c>
      <c r="D121" s="1" t="s">
        <v>100</v>
      </c>
      <c r="E121" s="1" t="s">
        <v>105</v>
      </c>
      <c r="F121" s="1" t="s">
        <v>106</v>
      </c>
      <c r="G121" s="1" t="s">
        <v>46</v>
      </c>
      <c r="H121" s="5">
        <v>2</v>
      </c>
      <c r="I121" s="5">
        <v>299.99</v>
      </c>
      <c r="J121" s="1" t="s">
        <v>57</v>
      </c>
      <c r="K121" s="1" t="s">
        <v>21</v>
      </c>
      <c r="L121" s="1" t="s">
        <v>22</v>
      </c>
      <c r="M121" s="4">
        <v>44569</v>
      </c>
      <c r="N121" s="5">
        <v>599.98</v>
      </c>
      <c r="O121" t="str">
        <f t="shared" si="2"/>
        <v>BOO</v>
      </c>
      <c r="P121" t="str">
        <f t="shared" si="3"/>
        <v>boo</v>
      </c>
    </row>
    <row r="122" spans="1:16" ht="29.4" thickBot="1">
      <c r="A122" s="1" t="s">
        <v>258</v>
      </c>
      <c r="B122" s="4">
        <v>45564</v>
      </c>
      <c r="C122" s="1" t="s">
        <v>259</v>
      </c>
      <c r="D122" s="1" t="s">
        <v>260</v>
      </c>
      <c r="E122" s="1" t="s">
        <v>126</v>
      </c>
      <c r="F122" s="1" t="s">
        <v>127</v>
      </c>
      <c r="G122" s="1" t="s">
        <v>46</v>
      </c>
      <c r="H122" s="5">
        <v>1</v>
      </c>
      <c r="I122" s="5">
        <v>199.99</v>
      </c>
      <c r="J122" s="1" t="s">
        <v>57</v>
      </c>
      <c r="K122" s="1" t="s">
        <v>63</v>
      </c>
      <c r="L122" s="1" t="s">
        <v>36</v>
      </c>
      <c r="M122" s="4">
        <v>44953</v>
      </c>
      <c r="N122" s="5">
        <v>199.99</v>
      </c>
      <c r="O122" t="str">
        <f t="shared" si="2"/>
        <v>DES</v>
      </c>
      <c r="P122" t="str">
        <f t="shared" si="3"/>
        <v>des</v>
      </c>
    </row>
    <row r="123" spans="1:16" ht="29.4" thickBot="1">
      <c r="A123" s="1" t="s">
        <v>261</v>
      </c>
      <c r="B123" s="4">
        <v>45566</v>
      </c>
      <c r="C123" s="1" t="s">
        <v>42</v>
      </c>
      <c r="D123" s="1" t="s">
        <v>43</v>
      </c>
      <c r="E123" s="1" t="s">
        <v>105</v>
      </c>
      <c r="F123" s="1" t="s">
        <v>106</v>
      </c>
      <c r="G123" s="1" t="s">
        <v>46</v>
      </c>
      <c r="H123" s="5">
        <v>4</v>
      </c>
      <c r="I123" s="5">
        <v>299.99</v>
      </c>
      <c r="J123" s="1" t="s">
        <v>20</v>
      </c>
      <c r="K123" s="1" t="s">
        <v>21</v>
      </c>
      <c r="L123" s="1" t="s">
        <v>27</v>
      </c>
      <c r="M123" s="4">
        <v>44460</v>
      </c>
      <c r="N123" s="5">
        <v>1199.96</v>
      </c>
      <c r="O123" t="str">
        <f t="shared" si="2"/>
        <v>OFF</v>
      </c>
      <c r="P123" t="str">
        <f t="shared" si="3"/>
        <v>off</v>
      </c>
    </row>
    <row r="124" spans="1:16" ht="29.4" thickBot="1">
      <c r="A124" s="1" t="s">
        <v>262</v>
      </c>
      <c r="B124" s="4">
        <v>45572</v>
      </c>
      <c r="C124" s="1" t="s">
        <v>89</v>
      </c>
      <c r="D124" s="1" t="s">
        <v>90</v>
      </c>
      <c r="E124" s="1" t="s">
        <v>31</v>
      </c>
      <c r="F124" s="1" t="s">
        <v>32</v>
      </c>
      <c r="G124" s="1" t="s">
        <v>33</v>
      </c>
      <c r="H124" s="5">
        <v>2</v>
      </c>
      <c r="I124" s="5">
        <v>59.99</v>
      </c>
      <c r="J124" s="1" t="s">
        <v>26</v>
      </c>
      <c r="K124" s="1" t="s">
        <v>21</v>
      </c>
      <c r="L124" s="1" t="s">
        <v>22</v>
      </c>
      <c r="M124" s="4">
        <v>44579</v>
      </c>
      <c r="N124" s="5">
        <v>119.98</v>
      </c>
      <c r="O124" t="str">
        <f t="shared" si="2"/>
        <v>DES</v>
      </c>
      <c r="P124" t="str">
        <f t="shared" si="3"/>
        <v>des</v>
      </c>
    </row>
    <row r="125" spans="1:16" ht="29.4" thickBot="1">
      <c r="A125" s="1" t="s">
        <v>263</v>
      </c>
      <c r="B125" s="4">
        <v>45572</v>
      </c>
      <c r="C125" s="1" t="s">
        <v>234</v>
      </c>
      <c r="D125" s="1" t="s">
        <v>235</v>
      </c>
      <c r="E125" s="1" t="s">
        <v>52</v>
      </c>
      <c r="F125" s="1" t="s">
        <v>53</v>
      </c>
      <c r="G125" s="1" t="s">
        <v>19</v>
      </c>
      <c r="H125" s="5">
        <v>4</v>
      </c>
      <c r="I125" s="5">
        <v>149.99</v>
      </c>
      <c r="J125" s="1" t="s">
        <v>26</v>
      </c>
      <c r="K125" s="1" t="s">
        <v>40</v>
      </c>
      <c r="L125" s="1" t="s">
        <v>27</v>
      </c>
      <c r="M125" s="4">
        <v>45076</v>
      </c>
      <c r="N125" s="5">
        <v>599.96</v>
      </c>
      <c r="O125" t="str">
        <f t="shared" si="2"/>
        <v>BLE</v>
      </c>
      <c r="P125" t="str">
        <f t="shared" si="3"/>
        <v>ble</v>
      </c>
    </row>
    <row r="126" spans="1:16" ht="29.4" thickBot="1">
      <c r="A126" s="1" t="s">
        <v>264</v>
      </c>
      <c r="B126" s="4">
        <v>45573</v>
      </c>
      <c r="C126" s="1" t="s">
        <v>211</v>
      </c>
      <c r="D126" s="1" t="s">
        <v>212</v>
      </c>
      <c r="E126" s="1" t="s">
        <v>80</v>
      </c>
      <c r="F126" s="1" t="s">
        <v>81</v>
      </c>
      <c r="G126" s="1" t="s">
        <v>19</v>
      </c>
      <c r="H126" s="5">
        <v>2</v>
      </c>
      <c r="I126" s="5">
        <v>699.99</v>
      </c>
      <c r="J126" s="1" t="s">
        <v>57</v>
      </c>
      <c r="K126" s="1" t="s">
        <v>63</v>
      </c>
      <c r="L126" s="1" t="s">
        <v>27</v>
      </c>
      <c r="M126" s="4">
        <v>45274</v>
      </c>
      <c r="N126" s="5">
        <v>1399.98</v>
      </c>
      <c r="O126" t="str">
        <f t="shared" si="2"/>
        <v>HEA</v>
      </c>
      <c r="P126" t="str">
        <f t="shared" si="3"/>
        <v>hea</v>
      </c>
    </row>
    <row r="127" spans="1:16" ht="29.4" thickBot="1">
      <c r="A127" s="1" t="s">
        <v>265</v>
      </c>
      <c r="B127" s="4">
        <v>45573</v>
      </c>
      <c r="C127" s="1" t="s">
        <v>231</v>
      </c>
      <c r="D127" s="1" t="s">
        <v>232</v>
      </c>
      <c r="E127" s="1" t="s">
        <v>44</v>
      </c>
      <c r="F127" s="1" t="s">
        <v>45</v>
      </c>
      <c r="G127" s="1" t="s">
        <v>46</v>
      </c>
      <c r="H127" s="5">
        <v>3</v>
      </c>
      <c r="I127" s="5">
        <v>149.99</v>
      </c>
      <c r="J127" s="1" t="s">
        <v>26</v>
      </c>
      <c r="K127" s="1" t="s">
        <v>35</v>
      </c>
      <c r="L127" s="1" t="s">
        <v>36</v>
      </c>
      <c r="M127" s="4">
        <v>44940</v>
      </c>
      <c r="N127" s="5">
        <v>449.97</v>
      </c>
      <c r="O127" t="str">
        <f t="shared" si="2"/>
        <v>SMA</v>
      </c>
      <c r="P127" t="str">
        <f t="shared" si="3"/>
        <v>sma</v>
      </c>
    </row>
    <row r="128" spans="1:16" ht="29.4" thickBot="1">
      <c r="A128" s="1" t="s">
        <v>266</v>
      </c>
      <c r="B128" s="4">
        <v>45576</v>
      </c>
      <c r="C128" s="1" t="s">
        <v>147</v>
      </c>
      <c r="D128" s="1" t="s">
        <v>148</v>
      </c>
      <c r="E128" s="1" t="s">
        <v>105</v>
      </c>
      <c r="F128" s="1" t="s">
        <v>106</v>
      </c>
      <c r="G128" s="1" t="s">
        <v>46</v>
      </c>
      <c r="H128" s="5">
        <v>3</v>
      </c>
      <c r="I128" s="5">
        <v>299.99</v>
      </c>
      <c r="J128" s="1" t="s">
        <v>26</v>
      </c>
      <c r="K128" s="1" t="s">
        <v>21</v>
      </c>
      <c r="L128" s="1" t="s">
        <v>36</v>
      </c>
      <c r="M128" s="4">
        <v>45174</v>
      </c>
      <c r="N128" s="5">
        <v>899.97</v>
      </c>
      <c r="O128" t="str">
        <f t="shared" si="2"/>
        <v>BOO</v>
      </c>
      <c r="P128" t="str">
        <f t="shared" si="3"/>
        <v>boo</v>
      </c>
    </row>
    <row r="129" spans="1:16" ht="29.4" thickBot="1">
      <c r="A129" s="1" t="s">
        <v>267</v>
      </c>
      <c r="B129" s="4">
        <v>45579</v>
      </c>
      <c r="C129" s="1" t="s">
        <v>83</v>
      </c>
      <c r="D129" s="1" t="s">
        <v>84</v>
      </c>
      <c r="E129" s="1" t="s">
        <v>61</v>
      </c>
      <c r="F129" s="1" t="s">
        <v>62</v>
      </c>
      <c r="G129" s="1" t="s">
        <v>19</v>
      </c>
      <c r="H129" s="5">
        <v>3</v>
      </c>
      <c r="I129" s="5">
        <v>899.99</v>
      </c>
      <c r="J129" s="1" t="s">
        <v>34</v>
      </c>
      <c r="K129" s="1" t="s">
        <v>50</v>
      </c>
      <c r="L129" s="1" t="s">
        <v>22</v>
      </c>
      <c r="M129" s="4">
        <v>45215</v>
      </c>
      <c r="N129" s="5">
        <v>2699.97</v>
      </c>
      <c r="O129" t="str">
        <f t="shared" si="2"/>
        <v>DES</v>
      </c>
      <c r="P129" t="str">
        <f t="shared" si="3"/>
        <v>des</v>
      </c>
    </row>
    <row r="130" spans="1:16" ht="29.4" thickBot="1">
      <c r="A130" s="1" t="s">
        <v>268</v>
      </c>
      <c r="B130" s="4">
        <v>45581</v>
      </c>
      <c r="C130" s="1" t="s">
        <v>96</v>
      </c>
      <c r="D130" s="1" t="s">
        <v>97</v>
      </c>
      <c r="E130" s="1" t="s">
        <v>80</v>
      </c>
      <c r="F130" s="1" t="s">
        <v>81</v>
      </c>
      <c r="G130" s="1" t="s">
        <v>19</v>
      </c>
      <c r="H130" s="5">
        <v>5</v>
      </c>
      <c r="I130" s="5">
        <v>699.99</v>
      </c>
      <c r="J130" s="1" t="s">
        <v>20</v>
      </c>
      <c r="K130" s="1" t="s">
        <v>63</v>
      </c>
      <c r="L130" s="1" t="s">
        <v>36</v>
      </c>
      <c r="M130" s="4">
        <v>45008</v>
      </c>
      <c r="N130" s="5">
        <v>3499.95</v>
      </c>
      <c r="O130" t="str">
        <f t="shared" si="2"/>
        <v>LAP</v>
      </c>
      <c r="P130" t="str">
        <f t="shared" si="3"/>
        <v>lap</v>
      </c>
    </row>
    <row r="131" spans="1:16" ht="29.4" thickBot="1">
      <c r="A131" s="1" t="s">
        <v>269</v>
      </c>
      <c r="B131" s="4">
        <v>45581</v>
      </c>
      <c r="C131" s="1" t="s">
        <v>171</v>
      </c>
      <c r="D131" s="1" t="s">
        <v>172</v>
      </c>
      <c r="E131" s="1" t="s">
        <v>80</v>
      </c>
      <c r="F131" s="1" t="s">
        <v>81</v>
      </c>
      <c r="G131" s="1" t="s">
        <v>19</v>
      </c>
      <c r="H131" s="5">
        <v>4</v>
      </c>
      <c r="I131" s="5">
        <v>699.99</v>
      </c>
      <c r="J131" s="1" t="s">
        <v>26</v>
      </c>
      <c r="K131" s="1" t="s">
        <v>21</v>
      </c>
      <c r="L131" s="1" t="s">
        <v>22</v>
      </c>
      <c r="M131" s="4">
        <v>45385</v>
      </c>
      <c r="N131" s="5">
        <v>2799.96</v>
      </c>
      <c r="O131" t="str">
        <f t="shared" si="2"/>
        <v>SMA</v>
      </c>
      <c r="P131" t="str">
        <f t="shared" si="3"/>
        <v>sma</v>
      </c>
    </row>
    <row r="132" spans="1:16" ht="29.4" thickBot="1">
      <c r="A132" s="1" t="s">
        <v>270</v>
      </c>
      <c r="B132" s="4">
        <v>45581</v>
      </c>
      <c r="C132" s="1" t="s">
        <v>150</v>
      </c>
      <c r="D132" s="1" t="s">
        <v>151</v>
      </c>
      <c r="E132" s="1" t="s">
        <v>61</v>
      </c>
      <c r="F132" s="1" t="s">
        <v>62</v>
      </c>
      <c r="G132" s="1" t="s">
        <v>19</v>
      </c>
      <c r="H132" s="5">
        <v>1</v>
      </c>
      <c r="I132" s="5">
        <v>899.99</v>
      </c>
      <c r="J132" s="1" t="s">
        <v>26</v>
      </c>
      <c r="K132" s="1" t="s">
        <v>63</v>
      </c>
      <c r="L132" s="1" t="s">
        <v>36</v>
      </c>
      <c r="M132" s="4">
        <v>45369</v>
      </c>
      <c r="N132" s="5">
        <v>899.99</v>
      </c>
      <c r="O132" t="str">
        <f t="shared" ref="O132:O195" si="4">UPPER(LEFT(F131,3))</f>
        <v>SMA</v>
      </c>
      <c r="P132" t="str">
        <f t="shared" ref="P132:P195" si="5">LOWER(LEFT(F131,3))</f>
        <v>sma</v>
      </c>
    </row>
    <row r="133" spans="1:16" ht="29.4" thickBot="1">
      <c r="A133" s="1" t="s">
        <v>271</v>
      </c>
      <c r="B133" s="4">
        <v>45583</v>
      </c>
      <c r="C133" s="1" t="s">
        <v>226</v>
      </c>
      <c r="D133" s="1" t="s">
        <v>227</v>
      </c>
      <c r="E133" s="1" t="s">
        <v>52</v>
      </c>
      <c r="F133" s="1" t="s">
        <v>53</v>
      </c>
      <c r="G133" s="1" t="s">
        <v>19</v>
      </c>
      <c r="H133" s="5">
        <v>2</v>
      </c>
      <c r="I133" s="5">
        <v>149.99</v>
      </c>
      <c r="J133" s="1" t="s">
        <v>26</v>
      </c>
      <c r="K133" s="1" t="s">
        <v>50</v>
      </c>
      <c r="L133" s="1" t="s">
        <v>22</v>
      </c>
      <c r="M133" s="4">
        <v>44916</v>
      </c>
      <c r="N133" s="5">
        <v>299.98</v>
      </c>
      <c r="O133" t="str">
        <f t="shared" si="4"/>
        <v>LAP</v>
      </c>
      <c r="P133" t="str">
        <f t="shared" si="5"/>
        <v>lap</v>
      </c>
    </row>
    <row r="134" spans="1:16" ht="29.4" thickBot="1">
      <c r="A134" s="1" t="s">
        <v>272</v>
      </c>
      <c r="B134" s="4">
        <v>45586</v>
      </c>
      <c r="C134" s="1" t="s">
        <v>226</v>
      </c>
      <c r="D134" s="1" t="s">
        <v>227</v>
      </c>
      <c r="E134" s="1" t="s">
        <v>117</v>
      </c>
      <c r="F134" s="1" t="s">
        <v>118</v>
      </c>
      <c r="G134" s="1" t="s">
        <v>19</v>
      </c>
      <c r="H134" s="5">
        <v>3</v>
      </c>
      <c r="I134" s="5">
        <v>89.99</v>
      </c>
      <c r="J134" s="1" t="s">
        <v>34</v>
      </c>
      <c r="K134" s="1" t="s">
        <v>21</v>
      </c>
      <c r="L134" s="1" t="s">
        <v>22</v>
      </c>
      <c r="M134" s="4">
        <v>44551</v>
      </c>
      <c r="N134" s="5">
        <v>269.97000000000003</v>
      </c>
      <c r="O134" t="str">
        <f t="shared" si="4"/>
        <v>HEA</v>
      </c>
      <c r="P134" t="str">
        <f t="shared" si="5"/>
        <v>hea</v>
      </c>
    </row>
    <row r="135" spans="1:16" ht="29.4" thickBot="1">
      <c r="A135" s="1" t="s">
        <v>273</v>
      </c>
      <c r="B135" s="4">
        <v>45588</v>
      </c>
      <c r="C135" s="1" t="s">
        <v>38</v>
      </c>
      <c r="D135" s="1" t="s">
        <v>39</v>
      </c>
      <c r="E135" s="1" t="s">
        <v>52</v>
      </c>
      <c r="F135" s="1" t="s">
        <v>53</v>
      </c>
      <c r="G135" s="1" t="s">
        <v>19</v>
      </c>
      <c r="H135" s="5">
        <v>2</v>
      </c>
      <c r="I135" s="5">
        <v>149.99</v>
      </c>
      <c r="J135" s="1" t="s">
        <v>34</v>
      </c>
      <c r="K135" s="1" t="s">
        <v>21</v>
      </c>
      <c r="L135" s="1" t="s">
        <v>22</v>
      </c>
      <c r="M135" s="4">
        <v>44473</v>
      </c>
      <c r="N135" s="5">
        <v>299.98</v>
      </c>
      <c r="O135" t="str">
        <f t="shared" si="4"/>
        <v>KEY</v>
      </c>
      <c r="P135" t="str">
        <f t="shared" si="5"/>
        <v>key</v>
      </c>
    </row>
    <row r="136" spans="1:16" ht="29.4" thickBot="1">
      <c r="A136" s="1" t="s">
        <v>274</v>
      </c>
      <c r="B136" s="4">
        <v>45588</v>
      </c>
      <c r="C136" s="1" t="s">
        <v>154</v>
      </c>
      <c r="D136" s="1" t="s">
        <v>155</v>
      </c>
      <c r="E136" s="1" t="s">
        <v>80</v>
      </c>
      <c r="F136" s="1" t="s">
        <v>81</v>
      </c>
      <c r="G136" s="1" t="s">
        <v>19</v>
      </c>
      <c r="H136" s="5">
        <v>2</v>
      </c>
      <c r="I136" s="5">
        <v>699.99</v>
      </c>
      <c r="J136" s="1" t="s">
        <v>20</v>
      </c>
      <c r="K136" s="1" t="s">
        <v>21</v>
      </c>
      <c r="L136" s="1" t="s">
        <v>22</v>
      </c>
      <c r="M136" s="4">
        <v>44992</v>
      </c>
      <c r="N136" s="5">
        <v>1399.98</v>
      </c>
      <c r="O136" t="str">
        <f t="shared" si="4"/>
        <v>HEA</v>
      </c>
      <c r="P136" t="str">
        <f t="shared" si="5"/>
        <v>hea</v>
      </c>
    </row>
    <row r="137" spans="1:16" ht="29.4" thickBot="1">
      <c r="A137" s="1" t="s">
        <v>275</v>
      </c>
      <c r="B137" s="4">
        <v>45589</v>
      </c>
      <c r="C137" s="1" t="s">
        <v>158</v>
      </c>
      <c r="D137" s="1" t="s">
        <v>159</v>
      </c>
      <c r="E137" s="1" t="s">
        <v>80</v>
      </c>
      <c r="F137" s="1" t="s">
        <v>81</v>
      </c>
      <c r="G137" s="1" t="s">
        <v>19</v>
      </c>
      <c r="H137" s="5">
        <v>5</v>
      </c>
      <c r="I137" s="5">
        <v>699.99</v>
      </c>
      <c r="J137" s="1" t="s">
        <v>20</v>
      </c>
      <c r="K137" s="1" t="s">
        <v>40</v>
      </c>
      <c r="L137" s="1" t="s">
        <v>27</v>
      </c>
      <c r="M137" s="4">
        <v>44635</v>
      </c>
      <c r="N137" s="5">
        <v>3499.95</v>
      </c>
      <c r="O137" t="str">
        <f t="shared" si="4"/>
        <v>SMA</v>
      </c>
      <c r="P137" t="str">
        <f t="shared" si="5"/>
        <v>sma</v>
      </c>
    </row>
    <row r="138" spans="1:16" ht="29.4" thickBot="1">
      <c r="A138" s="1" t="s">
        <v>276</v>
      </c>
      <c r="B138" s="4">
        <v>45592</v>
      </c>
      <c r="C138" s="1" t="s">
        <v>171</v>
      </c>
      <c r="D138" s="1" t="s">
        <v>172</v>
      </c>
      <c r="E138" s="1" t="s">
        <v>117</v>
      </c>
      <c r="F138" s="1" t="s">
        <v>118</v>
      </c>
      <c r="G138" s="1" t="s">
        <v>19</v>
      </c>
      <c r="H138" s="5">
        <v>3</v>
      </c>
      <c r="I138" s="5">
        <v>89.99</v>
      </c>
      <c r="J138" s="1" t="s">
        <v>26</v>
      </c>
      <c r="K138" s="1" t="s">
        <v>40</v>
      </c>
      <c r="L138" s="1" t="s">
        <v>36</v>
      </c>
      <c r="M138" s="4">
        <v>44615</v>
      </c>
      <c r="N138" s="5">
        <v>269.97000000000003</v>
      </c>
      <c r="O138" t="str">
        <f t="shared" si="4"/>
        <v>SMA</v>
      </c>
      <c r="P138" t="str">
        <f t="shared" si="5"/>
        <v>sma</v>
      </c>
    </row>
    <row r="139" spans="1:16" ht="29.4" thickBot="1">
      <c r="A139" s="1" t="s">
        <v>277</v>
      </c>
      <c r="B139" s="4">
        <v>45597</v>
      </c>
      <c r="C139" s="1" t="s">
        <v>15</v>
      </c>
      <c r="D139" s="1" t="s">
        <v>16</v>
      </c>
      <c r="E139" s="1" t="s">
        <v>17</v>
      </c>
      <c r="F139" s="1" t="s">
        <v>18</v>
      </c>
      <c r="G139" s="1" t="s">
        <v>19</v>
      </c>
      <c r="H139" s="5">
        <v>5</v>
      </c>
      <c r="I139" s="5">
        <v>249.99</v>
      </c>
      <c r="J139" s="1" t="s">
        <v>26</v>
      </c>
      <c r="K139" s="1" t="s">
        <v>35</v>
      </c>
      <c r="L139" s="1" t="s">
        <v>36</v>
      </c>
      <c r="M139" s="4">
        <v>44881</v>
      </c>
      <c r="N139" s="5">
        <v>1249.95</v>
      </c>
      <c r="O139" t="str">
        <f t="shared" si="4"/>
        <v>KEY</v>
      </c>
      <c r="P139" t="str">
        <f t="shared" si="5"/>
        <v>key</v>
      </c>
    </row>
    <row r="140" spans="1:16" ht="29.4" thickBot="1">
      <c r="A140" s="1" t="s">
        <v>278</v>
      </c>
      <c r="B140" s="4">
        <v>45600</v>
      </c>
      <c r="C140" s="1" t="s">
        <v>65</v>
      </c>
      <c r="D140" s="1" t="s">
        <v>66</v>
      </c>
      <c r="E140" s="1" t="s">
        <v>105</v>
      </c>
      <c r="F140" s="1" t="s">
        <v>106</v>
      </c>
      <c r="G140" s="1" t="s">
        <v>46</v>
      </c>
      <c r="H140" s="5">
        <v>3</v>
      </c>
      <c r="I140" s="5">
        <v>299.99</v>
      </c>
      <c r="J140" s="1" t="s">
        <v>26</v>
      </c>
      <c r="K140" s="1" t="s">
        <v>35</v>
      </c>
      <c r="L140" s="1" t="s">
        <v>36</v>
      </c>
      <c r="M140" s="4">
        <v>44502</v>
      </c>
      <c r="N140" s="5">
        <v>899.97</v>
      </c>
      <c r="O140" t="str">
        <f t="shared" si="4"/>
        <v>MON</v>
      </c>
      <c r="P140" t="str">
        <f t="shared" si="5"/>
        <v>mon</v>
      </c>
    </row>
    <row r="141" spans="1:16" ht="29.4" thickBot="1">
      <c r="A141" s="1" t="s">
        <v>279</v>
      </c>
      <c r="B141" s="4">
        <v>45603</v>
      </c>
      <c r="C141" s="1" t="s">
        <v>99</v>
      </c>
      <c r="D141" s="1" t="s">
        <v>100</v>
      </c>
      <c r="E141" s="1" t="s">
        <v>117</v>
      </c>
      <c r="F141" s="1" t="s">
        <v>118</v>
      </c>
      <c r="G141" s="1" t="s">
        <v>19</v>
      </c>
      <c r="H141" s="5">
        <v>3</v>
      </c>
      <c r="I141" s="5">
        <v>89.99</v>
      </c>
      <c r="J141" s="1" t="s">
        <v>26</v>
      </c>
      <c r="K141" s="1" t="s">
        <v>40</v>
      </c>
      <c r="L141" s="1" t="s">
        <v>27</v>
      </c>
      <c r="M141" s="4">
        <v>44420</v>
      </c>
      <c r="N141" s="5">
        <v>269.97000000000003</v>
      </c>
      <c r="O141" t="str">
        <f t="shared" si="4"/>
        <v>DES</v>
      </c>
      <c r="P141" t="str">
        <f t="shared" si="5"/>
        <v>des</v>
      </c>
    </row>
    <row r="142" spans="1:16" ht="29.4" thickBot="1">
      <c r="A142" s="1" t="s">
        <v>280</v>
      </c>
      <c r="B142" s="4">
        <v>45604</v>
      </c>
      <c r="C142" s="1" t="s">
        <v>89</v>
      </c>
      <c r="D142" s="1" t="s">
        <v>90</v>
      </c>
      <c r="E142" s="1" t="s">
        <v>44</v>
      </c>
      <c r="F142" s="1" t="s">
        <v>45</v>
      </c>
      <c r="G142" s="1" t="s">
        <v>46</v>
      </c>
      <c r="H142" s="5">
        <v>2</v>
      </c>
      <c r="I142" s="5">
        <v>149.99</v>
      </c>
      <c r="J142" s="1" t="s">
        <v>26</v>
      </c>
      <c r="K142" s="1" t="s">
        <v>50</v>
      </c>
      <c r="L142" s="1" t="s">
        <v>27</v>
      </c>
      <c r="M142" s="4">
        <v>44848</v>
      </c>
      <c r="N142" s="5">
        <v>299.98</v>
      </c>
      <c r="O142" t="str">
        <f t="shared" si="4"/>
        <v>KEY</v>
      </c>
      <c r="P142" t="str">
        <f t="shared" si="5"/>
        <v>key</v>
      </c>
    </row>
    <row r="143" spans="1:16" ht="29.4" thickBot="1">
      <c r="A143" s="1" t="s">
        <v>281</v>
      </c>
      <c r="B143" s="4">
        <v>45605</v>
      </c>
      <c r="C143" s="1" t="s">
        <v>185</v>
      </c>
      <c r="D143" s="1" t="s">
        <v>186</v>
      </c>
      <c r="E143" s="1" t="s">
        <v>17</v>
      </c>
      <c r="F143" s="1" t="s">
        <v>18</v>
      </c>
      <c r="G143" s="1" t="s">
        <v>19</v>
      </c>
      <c r="H143" s="5">
        <v>1</v>
      </c>
      <c r="I143" s="5">
        <v>249.99</v>
      </c>
      <c r="J143" s="1" t="s">
        <v>26</v>
      </c>
      <c r="K143" s="1" t="s">
        <v>40</v>
      </c>
      <c r="L143" s="1" t="s">
        <v>27</v>
      </c>
      <c r="M143" s="4">
        <v>44828</v>
      </c>
      <c r="N143" s="5">
        <v>249.99</v>
      </c>
      <c r="O143" t="str">
        <f t="shared" si="4"/>
        <v>BOO</v>
      </c>
      <c r="P143" t="str">
        <f t="shared" si="5"/>
        <v>boo</v>
      </c>
    </row>
    <row r="144" spans="1:16" ht="43.8" thickBot="1">
      <c r="A144" s="1" t="s">
        <v>282</v>
      </c>
      <c r="B144" s="4">
        <v>45607</v>
      </c>
      <c r="C144" s="1" t="s">
        <v>72</v>
      </c>
      <c r="D144" s="1" t="s">
        <v>73</v>
      </c>
      <c r="E144" s="1" t="s">
        <v>52</v>
      </c>
      <c r="F144" s="1" t="s">
        <v>53</v>
      </c>
      <c r="G144" s="1" t="s">
        <v>19</v>
      </c>
      <c r="H144" s="5">
        <v>3</v>
      </c>
      <c r="I144" s="5">
        <v>149.99</v>
      </c>
      <c r="J144" s="1" t="s">
        <v>20</v>
      </c>
      <c r="K144" s="1" t="s">
        <v>40</v>
      </c>
      <c r="L144" s="1" t="s">
        <v>22</v>
      </c>
      <c r="M144" s="4">
        <v>44769</v>
      </c>
      <c r="N144" s="5">
        <v>449.97</v>
      </c>
      <c r="O144" t="str">
        <f t="shared" si="4"/>
        <v>MON</v>
      </c>
      <c r="P144" t="str">
        <f t="shared" si="5"/>
        <v>mon</v>
      </c>
    </row>
    <row r="145" spans="1:16" ht="29.4" thickBot="1">
      <c r="A145" s="1" t="s">
        <v>283</v>
      </c>
      <c r="B145" s="4">
        <v>45607</v>
      </c>
      <c r="C145" s="1" t="s">
        <v>15</v>
      </c>
      <c r="D145" s="1" t="s">
        <v>16</v>
      </c>
      <c r="E145" s="1" t="s">
        <v>31</v>
      </c>
      <c r="F145" s="1" t="s">
        <v>32</v>
      </c>
      <c r="G145" s="1" t="s">
        <v>33</v>
      </c>
      <c r="H145" s="5">
        <v>5</v>
      </c>
      <c r="I145" s="5">
        <v>59.99</v>
      </c>
      <c r="J145" s="1" t="s">
        <v>34</v>
      </c>
      <c r="K145" s="1" t="s">
        <v>50</v>
      </c>
      <c r="L145" s="1" t="s">
        <v>27</v>
      </c>
      <c r="M145" s="4">
        <v>44694</v>
      </c>
      <c r="N145" s="5">
        <v>299.95</v>
      </c>
      <c r="O145" t="str">
        <f t="shared" si="4"/>
        <v>HEA</v>
      </c>
      <c r="P145" t="str">
        <f t="shared" si="5"/>
        <v>hea</v>
      </c>
    </row>
    <row r="146" spans="1:16" ht="29.4" thickBot="1">
      <c r="A146" s="1" t="s">
        <v>284</v>
      </c>
      <c r="B146" s="4">
        <v>45607</v>
      </c>
      <c r="C146" s="1" t="s">
        <v>99</v>
      </c>
      <c r="D146" s="1" t="s">
        <v>100</v>
      </c>
      <c r="E146" s="1" t="s">
        <v>17</v>
      </c>
      <c r="F146" s="1" t="s">
        <v>18</v>
      </c>
      <c r="G146" s="1" t="s">
        <v>19</v>
      </c>
      <c r="H146" s="5">
        <v>4</v>
      </c>
      <c r="I146" s="5">
        <v>249.99</v>
      </c>
      <c r="J146" s="1" t="s">
        <v>26</v>
      </c>
      <c r="K146" s="1" t="s">
        <v>50</v>
      </c>
      <c r="L146" s="1" t="s">
        <v>36</v>
      </c>
      <c r="M146" s="4">
        <v>44659</v>
      </c>
      <c r="N146" s="5">
        <v>999.96</v>
      </c>
      <c r="O146" t="str">
        <f t="shared" si="4"/>
        <v>BLE</v>
      </c>
      <c r="P146" t="str">
        <f t="shared" si="5"/>
        <v>ble</v>
      </c>
    </row>
    <row r="147" spans="1:16" ht="29.4" thickBot="1">
      <c r="A147" s="1" t="s">
        <v>285</v>
      </c>
      <c r="B147" s="4">
        <v>45608</v>
      </c>
      <c r="C147" s="1" t="s">
        <v>154</v>
      </c>
      <c r="D147" s="1" t="s">
        <v>155</v>
      </c>
      <c r="E147" s="1" t="s">
        <v>44</v>
      </c>
      <c r="F147" s="1" t="s">
        <v>45</v>
      </c>
      <c r="G147" s="1" t="s">
        <v>46</v>
      </c>
      <c r="H147" s="5">
        <v>5</v>
      </c>
      <c r="I147" s="5">
        <v>149.99</v>
      </c>
      <c r="J147" s="1" t="s">
        <v>34</v>
      </c>
      <c r="K147" s="1" t="s">
        <v>21</v>
      </c>
      <c r="L147" s="1" t="s">
        <v>22</v>
      </c>
      <c r="M147" s="4">
        <v>44901</v>
      </c>
      <c r="N147" s="5">
        <v>749.95</v>
      </c>
      <c r="O147" t="str">
        <f t="shared" si="4"/>
        <v>MON</v>
      </c>
      <c r="P147" t="str">
        <f t="shared" si="5"/>
        <v>mon</v>
      </c>
    </row>
    <row r="148" spans="1:16" ht="29.4" thickBot="1">
      <c r="A148" s="1" t="s">
        <v>286</v>
      </c>
      <c r="B148" s="4">
        <v>45608</v>
      </c>
      <c r="C148" s="1" t="s">
        <v>83</v>
      </c>
      <c r="D148" s="1" t="s">
        <v>84</v>
      </c>
      <c r="E148" s="1" t="s">
        <v>31</v>
      </c>
      <c r="F148" s="1" t="s">
        <v>32</v>
      </c>
      <c r="G148" s="1" t="s">
        <v>33</v>
      </c>
      <c r="H148" s="5">
        <v>3</v>
      </c>
      <c r="I148" s="5">
        <v>59.99</v>
      </c>
      <c r="J148" s="1" t="s">
        <v>57</v>
      </c>
      <c r="K148" s="1" t="s">
        <v>35</v>
      </c>
      <c r="L148" s="1" t="s">
        <v>36</v>
      </c>
      <c r="M148" s="4">
        <v>45260</v>
      </c>
      <c r="N148" s="5">
        <v>179.97</v>
      </c>
      <c r="O148" t="str">
        <f t="shared" si="4"/>
        <v>BOO</v>
      </c>
      <c r="P148" t="str">
        <f t="shared" si="5"/>
        <v>boo</v>
      </c>
    </row>
    <row r="149" spans="1:16" ht="29.4" thickBot="1">
      <c r="A149" s="1" t="s">
        <v>287</v>
      </c>
      <c r="B149" s="4">
        <v>45613</v>
      </c>
      <c r="C149" s="1" t="s">
        <v>234</v>
      </c>
      <c r="D149" s="1" t="s">
        <v>235</v>
      </c>
      <c r="E149" s="1" t="s">
        <v>44</v>
      </c>
      <c r="F149" s="1" t="s">
        <v>45</v>
      </c>
      <c r="G149" s="1" t="s">
        <v>46</v>
      </c>
      <c r="H149" s="5">
        <v>5</v>
      </c>
      <c r="I149" s="5">
        <v>149.99</v>
      </c>
      <c r="J149" s="1" t="s">
        <v>20</v>
      </c>
      <c r="K149" s="1" t="s">
        <v>40</v>
      </c>
      <c r="L149" s="1" t="s">
        <v>22</v>
      </c>
      <c r="M149" s="4">
        <v>44869</v>
      </c>
      <c r="N149" s="5">
        <v>749.95</v>
      </c>
      <c r="O149" t="str">
        <f t="shared" si="4"/>
        <v>BLE</v>
      </c>
      <c r="P149" t="str">
        <f t="shared" si="5"/>
        <v>ble</v>
      </c>
    </row>
    <row r="150" spans="1:16" ht="29.4" thickBot="1">
      <c r="A150" s="1" t="s">
        <v>288</v>
      </c>
      <c r="B150" s="4">
        <v>45613</v>
      </c>
      <c r="C150" s="1" t="s">
        <v>86</v>
      </c>
      <c r="D150" s="1" t="s">
        <v>87</v>
      </c>
      <c r="E150" s="1" t="s">
        <v>80</v>
      </c>
      <c r="F150" s="1" t="s">
        <v>81</v>
      </c>
      <c r="G150" s="1" t="s">
        <v>19</v>
      </c>
      <c r="H150" s="5">
        <v>2</v>
      </c>
      <c r="I150" s="5">
        <v>699.99</v>
      </c>
      <c r="J150" s="1" t="s">
        <v>34</v>
      </c>
      <c r="K150" s="1" t="s">
        <v>50</v>
      </c>
      <c r="L150" s="1" t="s">
        <v>36</v>
      </c>
      <c r="M150" s="4">
        <v>44770</v>
      </c>
      <c r="N150" s="5">
        <v>1399.98</v>
      </c>
      <c r="O150" t="str">
        <f t="shared" si="4"/>
        <v>BOO</v>
      </c>
      <c r="P150" t="str">
        <f t="shared" si="5"/>
        <v>boo</v>
      </c>
    </row>
    <row r="151" spans="1:16" ht="29.4" thickBot="1">
      <c r="A151" s="1" t="s">
        <v>289</v>
      </c>
      <c r="B151" s="4">
        <v>45617</v>
      </c>
      <c r="C151" s="1" t="s">
        <v>123</v>
      </c>
      <c r="D151" s="1" t="s">
        <v>124</v>
      </c>
      <c r="E151" s="1" t="s">
        <v>126</v>
      </c>
      <c r="F151" s="1" t="s">
        <v>127</v>
      </c>
      <c r="G151" s="1" t="s">
        <v>46</v>
      </c>
      <c r="H151" s="5">
        <v>4</v>
      </c>
      <c r="I151" s="5">
        <v>199.99</v>
      </c>
      <c r="J151" s="1" t="s">
        <v>57</v>
      </c>
      <c r="K151" s="1" t="s">
        <v>21</v>
      </c>
      <c r="L151" s="1" t="s">
        <v>27</v>
      </c>
      <c r="M151" s="4">
        <v>44427</v>
      </c>
      <c r="N151" s="5">
        <v>799.96</v>
      </c>
      <c r="O151" t="str">
        <f t="shared" si="4"/>
        <v>SMA</v>
      </c>
      <c r="P151" t="str">
        <f t="shared" si="5"/>
        <v>sma</v>
      </c>
    </row>
    <row r="152" spans="1:16" ht="29.4" thickBot="1">
      <c r="A152" s="1" t="s">
        <v>290</v>
      </c>
      <c r="B152" s="4">
        <v>45619</v>
      </c>
      <c r="C152" s="1" t="s">
        <v>192</v>
      </c>
      <c r="D152" s="1" t="s">
        <v>193</v>
      </c>
      <c r="E152" s="1" t="s">
        <v>31</v>
      </c>
      <c r="F152" s="1" t="s">
        <v>32</v>
      </c>
      <c r="G152" s="1" t="s">
        <v>33</v>
      </c>
      <c r="H152" s="5">
        <v>1</v>
      </c>
      <c r="I152" s="5">
        <v>59.99</v>
      </c>
      <c r="J152" s="1" t="s">
        <v>57</v>
      </c>
      <c r="K152" s="1" t="s">
        <v>50</v>
      </c>
      <c r="L152" s="1" t="s">
        <v>36</v>
      </c>
      <c r="M152" s="4">
        <v>44560</v>
      </c>
      <c r="N152" s="5">
        <v>59.99</v>
      </c>
      <c r="O152" t="str">
        <f t="shared" si="4"/>
        <v>OFF</v>
      </c>
      <c r="P152" t="str">
        <f t="shared" si="5"/>
        <v>off</v>
      </c>
    </row>
    <row r="153" spans="1:16" ht="29.4" thickBot="1">
      <c r="A153" s="1" t="s">
        <v>291</v>
      </c>
      <c r="B153" s="4">
        <v>45619</v>
      </c>
      <c r="C153" s="1" t="s">
        <v>154</v>
      </c>
      <c r="D153" s="1" t="s">
        <v>155</v>
      </c>
      <c r="E153" s="1" t="s">
        <v>80</v>
      </c>
      <c r="F153" s="1" t="s">
        <v>81</v>
      </c>
      <c r="G153" s="1" t="s">
        <v>19</v>
      </c>
      <c r="H153" s="5">
        <v>3</v>
      </c>
      <c r="I153" s="5">
        <v>699.99</v>
      </c>
      <c r="J153" s="1" t="s">
        <v>34</v>
      </c>
      <c r="K153" s="1" t="s">
        <v>50</v>
      </c>
      <c r="L153" s="1" t="s">
        <v>36</v>
      </c>
      <c r="M153" s="4">
        <v>44583</v>
      </c>
      <c r="N153" s="5">
        <v>2099.9699999999998</v>
      </c>
      <c r="O153" t="str">
        <f t="shared" si="4"/>
        <v>BLE</v>
      </c>
      <c r="P153" t="str">
        <f t="shared" si="5"/>
        <v>ble</v>
      </c>
    </row>
    <row r="154" spans="1:16" ht="29.4" thickBot="1">
      <c r="A154" s="1" t="s">
        <v>292</v>
      </c>
      <c r="B154" s="4">
        <v>45622</v>
      </c>
      <c r="C154" s="1" t="s">
        <v>293</v>
      </c>
      <c r="D154" s="1" t="s">
        <v>294</v>
      </c>
      <c r="E154" s="1" t="s">
        <v>17</v>
      </c>
      <c r="F154" s="1" t="s">
        <v>18</v>
      </c>
      <c r="G154" s="1" t="s">
        <v>19</v>
      </c>
      <c r="H154" s="5">
        <v>5</v>
      </c>
      <c r="I154" s="5">
        <v>249.99</v>
      </c>
      <c r="J154" s="1" t="s">
        <v>26</v>
      </c>
      <c r="K154" s="1" t="s">
        <v>40</v>
      </c>
      <c r="L154" s="1" t="s">
        <v>22</v>
      </c>
      <c r="M154" s="4">
        <v>44873</v>
      </c>
      <c r="N154" s="5">
        <v>1249.95</v>
      </c>
      <c r="O154" t="str">
        <f t="shared" si="4"/>
        <v>SMA</v>
      </c>
      <c r="P154" t="str">
        <f t="shared" si="5"/>
        <v>sma</v>
      </c>
    </row>
    <row r="155" spans="1:16" ht="29.4" thickBot="1">
      <c r="A155" s="1" t="s">
        <v>295</v>
      </c>
      <c r="B155" s="4">
        <v>45623</v>
      </c>
      <c r="C155" s="1" t="s">
        <v>112</v>
      </c>
      <c r="D155" s="1" t="s">
        <v>113</v>
      </c>
      <c r="E155" s="1" t="s">
        <v>44</v>
      </c>
      <c r="F155" s="1" t="s">
        <v>45</v>
      </c>
      <c r="G155" s="1" t="s">
        <v>46</v>
      </c>
      <c r="H155" s="5">
        <v>2</v>
      </c>
      <c r="I155" s="5">
        <v>149.99</v>
      </c>
      <c r="J155" s="1" t="s">
        <v>20</v>
      </c>
      <c r="K155" s="1" t="s">
        <v>35</v>
      </c>
      <c r="L155" s="1" t="s">
        <v>36</v>
      </c>
      <c r="M155" s="4">
        <v>45101</v>
      </c>
      <c r="N155" s="5">
        <v>299.98</v>
      </c>
      <c r="O155" t="str">
        <f t="shared" si="4"/>
        <v>MON</v>
      </c>
      <c r="P155" t="str">
        <f t="shared" si="5"/>
        <v>mon</v>
      </c>
    </row>
    <row r="156" spans="1:16" ht="29.4" thickBot="1">
      <c r="A156" s="1" t="s">
        <v>296</v>
      </c>
      <c r="B156" s="4">
        <v>45627</v>
      </c>
      <c r="C156" s="1" t="s">
        <v>29</v>
      </c>
      <c r="D156" s="1" t="s">
        <v>30</v>
      </c>
      <c r="E156" s="1" t="s">
        <v>105</v>
      </c>
      <c r="F156" s="1" t="s">
        <v>106</v>
      </c>
      <c r="G156" s="1" t="s">
        <v>46</v>
      </c>
      <c r="H156" s="5">
        <v>3</v>
      </c>
      <c r="I156" s="5">
        <v>299.99</v>
      </c>
      <c r="J156" s="1" t="s">
        <v>20</v>
      </c>
      <c r="K156" s="1" t="s">
        <v>35</v>
      </c>
      <c r="L156" s="1" t="s">
        <v>27</v>
      </c>
      <c r="M156" s="4">
        <v>44659</v>
      </c>
      <c r="N156" s="5">
        <v>899.97</v>
      </c>
      <c r="O156" t="str">
        <f t="shared" si="4"/>
        <v>BOO</v>
      </c>
      <c r="P156" t="str">
        <f t="shared" si="5"/>
        <v>boo</v>
      </c>
    </row>
    <row r="157" spans="1:16" ht="29.4" thickBot="1">
      <c r="A157" s="1" t="s">
        <v>297</v>
      </c>
      <c r="B157" s="4">
        <v>45627</v>
      </c>
      <c r="C157" s="1" t="s">
        <v>55</v>
      </c>
      <c r="D157" s="1" t="s">
        <v>56</v>
      </c>
      <c r="E157" s="1" t="s">
        <v>17</v>
      </c>
      <c r="F157" s="1" t="s">
        <v>18</v>
      </c>
      <c r="G157" s="1" t="s">
        <v>19</v>
      </c>
      <c r="H157" s="5">
        <v>5</v>
      </c>
      <c r="I157" s="5">
        <v>249.99</v>
      </c>
      <c r="J157" s="1" t="s">
        <v>20</v>
      </c>
      <c r="K157" s="1" t="s">
        <v>21</v>
      </c>
      <c r="L157" s="1" t="s">
        <v>27</v>
      </c>
      <c r="M157" s="4">
        <v>44485</v>
      </c>
      <c r="N157" s="5">
        <v>1249.95</v>
      </c>
      <c r="O157" t="str">
        <f t="shared" si="4"/>
        <v>DES</v>
      </c>
      <c r="P157" t="str">
        <f t="shared" si="5"/>
        <v>des</v>
      </c>
    </row>
    <row r="158" spans="1:16" ht="29.4" thickBot="1">
      <c r="A158" s="1" t="s">
        <v>298</v>
      </c>
      <c r="B158" s="4">
        <v>45627</v>
      </c>
      <c r="C158" s="1" t="s">
        <v>24</v>
      </c>
      <c r="D158" s="1" t="s">
        <v>25</v>
      </c>
      <c r="E158" s="1" t="s">
        <v>52</v>
      </c>
      <c r="F158" s="1" t="s">
        <v>53</v>
      </c>
      <c r="G158" s="1" t="s">
        <v>19</v>
      </c>
      <c r="H158" s="5">
        <v>2</v>
      </c>
      <c r="I158" s="5">
        <v>149.99</v>
      </c>
      <c r="J158" s="1" t="s">
        <v>20</v>
      </c>
      <c r="K158" s="1" t="s">
        <v>35</v>
      </c>
      <c r="L158" s="1" t="s">
        <v>27</v>
      </c>
      <c r="M158" s="4">
        <v>44475</v>
      </c>
      <c r="N158" s="5">
        <v>299.98</v>
      </c>
      <c r="O158" t="str">
        <f t="shared" si="4"/>
        <v>MON</v>
      </c>
      <c r="P158" t="str">
        <f t="shared" si="5"/>
        <v>mon</v>
      </c>
    </row>
    <row r="159" spans="1:16" ht="29.4" thickBot="1">
      <c r="A159" s="1" t="s">
        <v>299</v>
      </c>
      <c r="B159" s="4">
        <v>45627</v>
      </c>
      <c r="C159" s="1" t="s">
        <v>86</v>
      </c>
      <c r="D159" s="1" t="s">
        <v>87</v>
      </c>
      <c r="E159" s="1" t="s">
        <v>80</v>
      </c>
      <c r="F159" s="1" t="s">
        <v>81</v>
      </c>
      <c r="G159" s="1" t="s">
        <v>19</v>
      </c>
      <c r="H159" s="5">
        <v>5</v>
      </c>
      <c r="I159" s="5">
        <v>699.99</v>
      </c>
      <c r="J159" s="1" t="s">
        <v>57</v>
      </c>
      <c r="K159" s="1" t="s">
        <v>50</v>
      </c>
      <c r="L159" s="1" t="s">
        <v>36</v>
      </c>
      <c r="M159" s="4">
        <v>44944</v>
      </c>
      <c r="N159" s="5">
        <v>3499.95</v>
      </c>
      <c r="O159" t="str">
        <f t="shared" si="4"/>
        <v>HEA</v>
      </c>
      <c r="P159" t="str">
        <f t="shared" si="5"/>
        <v>hea</v>
      </c>
    </row>
    <row r="160" spans="1:16" ht="29.4" thickBot="1">
      <c r="A160" s="1" t="s">
        <v>300</v>
      </c>
      <c r="B160" s="4">
        <v>45629</v>
      </c>
      <c r="C160" s="1" t="s">
        <v>252</v>
      </c>
      <c r="D160" s="1" t="s">
        <v>253</v>
      </c>
      <c r="E160" s="1" t="s">
        <v>17</v>
      </c>
      <c r="F160" s="1" t="s">
        <v>18</v>
      </c>
      <c r="G160" s="1" t="s">
        <v>19</v>
      </c>
      <c r="H160" s="5">
        <v>4</v>
      </c>
      <c r="I160" s="5">
        <v>249.99</v>
      </c>
      <c r="J160" s="1" t="s">
        <v>34</v>
      </c>
      <c r="K160" s="1" t="s">
        <v>63</v>
      </c>
      <c r="L160" s="1" t="s">
        <v>27</v>
      </c>
      <c r="M160" s="4">
        <v>45098</v>
      </c>
      <c r="N160" s="5">
        <v>999.96</v>
      </c>
      <c r="O160" t="str">
        <f t="shared" si="4"/>
        <v>SMA</v>
      </c>
      <c r="P160" t="str">
        <f t="shared" si="5"/>
        <v>sma</v>
      </c>
    </row>
    <row r="161" spans="1:16" ht="29.4" thickBot="1">
      <c r="A161" s="1" t="s">
        <v>301</v>
      </c>
      <c r="B161" s="4">
        <v>45630</v>
      </c>
      <c r="C161" s="1" t="s">
        <v>48</v>
      </c>
      <c r="D161" s="1" t="s">
        <v>49</v>
      </c>
      <c r="E161" s="1" t="s">
        <v>80</v>
      </c>
      <c r="F161" s="1" t="s">
        <v>81</v>
      </c>
      <c r="G161" s="1" t="s">
        <v>19</v>
      </c>
      <c r="H161" s="5">
        <v>4</v>
      </c>
      <c r="I161" s="5">
        <v>699.99</v>
      </c>
      <c r="J161" s="1" t="s">
        <v>26</v>
      </c>
      <c r="K161" s="1" t="s">
        <v>40</v>
      </c>
      <c r="L161" s="1" t="s">
        <v>27</v>
      </c>
      <c r="M161" s="4">
        <v>44703</v>
      </c>
      <c r="N161" s="5">
        <v>2799.96</v>
      </c>
      <c r="O161" t="str">
        <f t="shared" si="4"/>
        <v>MON</v>
      </c>
      <c r="P161" t="str">
        <f t="shared" si="5"/>
        <v>mon</v>
      </c>
    </row>
    <row r="162" spans="1:16" ht="29.4" thickBot="1">
      <c r="A162" s="1" t="s">
        <v>302</v>
      </c>
      <c r="B162" s="4">
        <v>45635</v>
      </c>
      <c r="C162" s="1" t="s">
        <v>108</v>
      </c>
      <c r="D162" s="1" t="s">
        <v>109</v>
      </c>
      <c r="E162" s="1" t="s">
        <v>17</v>
      </c>
      <c r="F162" s="1" t="s">
        <v>18</v>
      </c>
      <c r="G162" s="1" t="s">
        <v>19</v>
      </c>
      <c r="H162" s="5">
        <v>2</v>
      </c>
      <c r="I162" s="5">
        <v>249.99</v>
      </c>
      <c r="J162" s="1" t="s">
        <v>26</v>
      </c>
      <c r="K162" s="1" t="s">
        <v>21</v>
      </c>
      <c r="L162" s="1" t="s">
        <v>27</v>
      </c>
      <c r="M162" s="4">
        <v>44396</v>
      </c>
      <c r="N162" s="5">
        <v>499.98</v>
      </c>
      <c r="O162" t="str">
        <f t="shared" si="4"/>
        <v>SMA</v>
      </c>
      <c r="P162" t="str">
        <f t="shared" si="5"/>
        <v>sma</v>
      </c>
    </row>
    <row r="163" spans="1:16" ht="29.4" thickBot="1">
      <c r="A163" s="1" t="s">
        <v>303</v>
      </c>
      <c r="B163" s="4">
        <v>45635</v>
      </c>
      <c r="C163" s="1" t="s">
        <v>304</v>
      </c>
      <c r="D163" s="1" t="s">
        <v>305</v>
      </c>
      <c r="E163" s="1" t="s">
        <v>31</v>
      </c>
      <c r="F163" s="1" t="s">
        <v>32</v>
      </c>
      <c r="G163" s="1" t="s">
        <v>33</v>
      </c>
      <c r="H163" s="5">
        <v>3</v>
      </c>
      <c r="I163" s="5">
        <v>59.99</v>
      </c>
      <c r="J163" s="1" t="s">
        <v>20</v>
      </c>
      <c r="K163" s="1" t="s">
        <v>21</v>
      </c>
      <c r="L163" s="1" t="s">
        <v>27</v>
      </c>
      <c r="M163" s="4">
        <v>45052</v>
      </c>
      <c r="N163" s="5">
        <v>179.97</v>
      </c>
      <c r="O163" t="str">
        <f t="shared" si="4"/>
        <v>MON</v>
      </c>
      <c r="P163" t="str">
        <f t="shared" si="5"/>
        <v>mon</v>
      </c>
    </row>
    <row r="164" spans="1:16" ht="29.4" thickBot="1">
      <c r="A164" s="1" t="s">
        <v>306</v>
      </c>
      <c r="B164" s="4">
        <v>45635</v>
      </c>
      <c r="C164" s="1" t="s">
        <v>141</v>
      </c>
      <c r="D164" s="1" t="s">
        <v>142</v>
      </c>
      <c r="E164" s="1" t="s">
        <v>114</v>
      </c>
      <c r="F164" s="1" t="s">
        <v>115</v>
      </c>
      <c r="G164" s="1" t="s">
        <v>33</v>
      </c>
      <c r="H164" s="5">
        <v>4</v>
      </c>
      <c r="I164" s="5">
        <v>79.989999999999995</v>
      </c>
      <c r="J164" s="1" t="s">
        <v>57</v>
      </c>
      <c r="K164" s="1" t="s">
        <v>63</v>
      </c>
      <c r="L164" s="1" t="s">
        <v>36</v>
      </c>
      <c r="M164" s="4">
        <v>44921</v>
      </c>
      <c r="N164" s="5">
        <v>319.95999999999998</v>
      </c>
      <c r="O164" t="str">
        <f t="shared" si="4"/>
        <v>BLE</v>
      </c>
      <c r="P164" t="str">
        <f t="shared" si="5"/>
        <v>ble</v>
      </c>
    </row>
    <row r="165" spans="1:16" ht="29.4" thickBot="1">
      <c r="A165" s="1" t="s">
        <v>307</v>
      </c>
      <c r="B165" s="4">
        <v>45636</v>
      </c>
      <c r="C165" s="1" t="s">
        <v>120</v>
      </c>
      <c r="D165" s="1" t="s">
        <v>121</v>
      </c>
      <c r="E165" s="1" t="s">
        <v>114</v>
      </c>
      <c r="F165" s="1" t="s">
        <v>115</v>
      </c>
      <c r="G165" s="1" t="s">
        <v>33</v>
      </c>
      <c r="H165" s="5">
        <v>3</v>
      </c>
      <c r="I165" s="5">
        <v>79.989999999999995</v>
      </c>
      <c r="J165" s="1" t="s">
        <v>57</v>
      </c>
      <c r="K165" s="1" t="s">
        <v>63</v>
      </c>
      <c r="L165" s="1" t="s">
        <v>36</v>
      </c>
      <c r="M165" s="4">
        <v>44779</v>
      </c>
      <c r="N165" s="5">
        <v>239.97</v>
      </c>
      <c r="O165" t="str">
        <f t="shared" si="4"/>
        <v>COF</v>
      </c>
      <c r="P165" t="str">
        <f t="shared" si="5"/>
        <v>cof</v>
      </c>
    </row>
    <row r="166" spans="1:16" ht="43.8" thickBot="1">
      <c r="A166" s="1" t="s">
        <v>308</v>
      </c>
      <c r="B166" s="4">
        <v>45638</v>
      </c>
      <c r="C166" s="1" t="s">
        <v>72</v>
      </c>
      <c r="D166" s="1" t="s">
        <v>73</v>
      </c>
      <c r="E166" s="1" t="s">
        <v>61</v>
      </c>
      <c r="F166" s="1" t="s">
        <v>62</v>
      </c>
      <c r="G166" s="1" t="s">
        <v>19</v>
      </c>
      <c r="H166" s="5">
        <v>2</v>
      </c>
      <c r="I166" s="5">
        <v>899.99</v>
      </c>
      <c r="J166" s="1" t="s">
        <v>20</v>
      </c>
      <c r="K166" s="1" t="s">
        <v>40</v>
      </c>
      <c r="L166" s="1" t="s">
        <v>22</v>
      </c>
      <c r="M166" s="4">
        <v>44406</v>
      </c>
      <c r="N166" s="5">
        <v>1799.98</v>
      </c>
      <c r="O166" t="str">
        <f t="shared" si="4"/>
        <v>COF</v>
      </c>
      <c r="P166" t="str">
        <f t="shared" si="5"/>
        <v>cof</v>
      </c>
    </row>
    <row r="167" spans="1:16" ht="29.4" thickBot="1">
      <c r="A167" s="1" t="s">
        <v>309</v>
      </c>
      <c r="B167" s="4">
        <v>45641</v>
      </c>
      <c r="C167" s="1" t="s">
        <v>182</v>
      </c>
      <c r="D167" s="1" t="s">
        <v>183</v>
      </c>
      <c r="E167" s="1" t="s">
        <v>44</v>
      </c>
      <c r="F167" s="1" t="s">
        <v>45</v>
      </c>
      <c r="G167" s="1" t="s">
        <v>46</v>
      </c>
      <c r="H167" s="5">
        <v>1</v>
      </c>
      <c r="I167" s="5">
        <v>149.99</v>
      </c>
      <c r="J167" s="1" t="s">
        <v>57</v>
      </c>
      <c r="K167" s="1" t="s">
        <v>63</v>
      </c>
      <c r="L167" s="1" t="s">
        <v>36</v>
      </c>
      <c r="M167" s="4">
        <v>45200</v>
      </c>
      <c r="N167" s="5">
        <v>149.99</v>
      </c>
      <c r="O167" t="str">
        <f t="shared" si="4"/>
        <v>LAP</v>
      </c>
      <c r="P167" t="str">
        <f t="shared" si="5"/>
        <v>lap</v>
      </c>
    </row>
    <row r="168" spans="1:16" ht="29.4" thickBot="1">
      <c r="A168" s="1" t="s">
        <v>310</v>
      </c>
      <c r="B168" s="4">
        <v>45641</v>
      </c>
      <c r="C168" s="1" t="s">
        <v>138</v>
      </c>
      <c r="D168" s="1" t="s">
        <v>139</v>
      </c>
      <c r="E168" s="1" t="s">
        <v>105</v>
      </c>
      <c r="F168" s="1" t="s">
        <v>106</v>
      </c>
      <c r="G168" s="1" t="s">
        <v>46</v>
      </c>
      <c r="H168" s="5">
        <v>2</v>
      </c>
      <c r="I168" s="5">
        <v>299.99</v>
      </c>
      <c r="J168" s="1" t="s">
        <v>20</v>
      </c>
      <c r="K168" s="1" t="s">
        <v>63</v>
      </c>
      <c r="L168" s="1" t="s">
        <v>27</v>
      </c>
      <c r="M168" s="4">
        <v>44724</v>
      </c>
      <c r="N168" s="5">
        <v>599.98</v>
      </c>
      <c r="O168" t="str">
        <f t="shared" si="4"/>
        <v>BOO</v>
      </c>
      <c r="P168" t="str">
        <f t="shared" si="5"/>
        <v>boo</v>
      </c>
    </row>
    <row r="169" spans="1:16" ht="29.4" thickBot="1">
      <c r="A169" s="1" t="s">
        <v>311</v>
      </c>
      <c r="B169" s="4">
        <v>45644</v>
      </c>
      <c r="C169" s="1" t="s">
        <v>132</v>
      </c>
      <c r="D169" s="1" t="s">
        <v>133</v>
      </c>
      <c r="E169" s="1" t="s">
        <v>31</v>
      </c>
      <c r="F169" s="1" t="s">
        <v>32</v>
      </c>
      <c r="G169" s="1" t="s">
        <v>33</v>
      </c>
      <c r="H169" s="5">
        <v>2</v>
      </c>
      <c r="I169" s="5">
        <v>59.99</v>
      </c>
      <c r="J169" s="1" t="s">
        <v>20</v>
      </c>
      <c r="K169" s="1" t="s">
        <v>50</v>
      </c>
      <c r="L169" s="1" t="s">
        <v>22</v>
      </c>
      <c r="M169" s="4">
        <v>45191</v>
      </c>
      <c r="N169" s="5">
        <v>119.98</v>
      </c>
      <c r="O169" t="str">
        <f t="shared" si="4"/>
        <v>DES</v>
      </c>
      <c r="P169" t="str">
        <f t="shared" si="5"/>
        <v>des</v>
      </c>
    </row>
    <row r="170" spans="1:16" ht="29.4" thickBot="1">
      <c r="A170" s="1" t="s">
        <v>312</v>
      </c>
      <c r="B170" s="4">
        <v>45645</v>
      </c>
      <c r="C170" s="1" t="s">
        <v>182</v>
      </c>
      <c r="D170" s="1" t="s">
        <v>183</v>
      </c>
      <c r="E170" s="1" t="s">
        <v>117</v>
      </c>
      <c r="F170" s="1" t="s">
        <v>118</v>
      </c>
      <c r="G170" s="1" t="s">
        <v>19</v>
      </c>
      <c r="H170" s="5">
        <v>1</v>
      </c>
      <c r="I170" s="5">
        <v>89.99</v>
      </c>
      <c r="J170" s="1" t="s">
        <v>57</v>
      </c>
      <c r="K170" s="1" t="s">
        <v>21</v>
      </c>
      <c r="L170" s="1" t="s">
        <v>36</v>
      </c>
      <c r="M170" s="4">
        <v>44760</v>
      </c>
      <c r="N170" s="5">
        <v>89.99</v>
      </c>
      <c r="O170" t="str">
        <f t="shared" si="4"/>
        <v>BLE</v>
      </c>
      <c r="P170" t="str">
        <f t="shared" si="5"/>
        <v>ble</v>
      </c>
    </row>
    <row r="171" spans="1:16" ht="29.4" thickBot="1">
      <c r="A171" s="1" t="s">
        <v>313</v>
      </c>
      <c r="B171" s="4">
        <v>45645</v>
      </c>
      <c r="C171" s="1" t="s">
        <v>147</v>
      </c>
      <c r="D171" s="1" t="s">
        <v>148</v>
      </c>
      <c r="E171" s="1" t="s">
        <v>61</v>
      </c>
      <c r="F171" s="1" t="s">
        <v>62</v>
      </c>
      <c r="G171" s="1" t="s">
        <v>19</v>
      </c>
      <c r="H171" s="5">
        <v>5</v>
      </c>
      <c r="I171" s="5">
        <v>899.99</v>
      </c>
      <c r="J171" s="1" t="s">
        <v>57</v>
      </c>
      <c r="K171" s="1" t="s">
        <v>63</v>
      </c>
      <c r="L171" s="1" t="s">
        <v>36</v>
      </c>
      <c r="M171" s="4">
        <v>44625</v>
      </c>
      <c r="N171" s="5">
        <v>4499.95</v>
      </c>
      <c r="O171" t="str">
        <f t="shared" si="4"/>
        <v>KEY</v>
      </c>
      <c r="P171" t="str">
        <f t="shared" si="5"/>
        <v>key</v>
      </c>
    </row>
    <row r="172" spans="1:16" ht="29.4" thickBot="1">
      <c r="A172" s="1" t="s">
        <v>314</v>
      </c>
      <c r="B172" s="4">
        <v>45646</v>
      </c>
      <c r="C172" s="1" t="s">
        <v>42</v>
      </c>
      <c r="D172" s="1" t="s">
        <v>43</v>
      </c>
      <c r="E172" s="1" t="s">
        <v>44</v>
      </c>
      <c r="F172" s="1" t="s">
        <v>45</v>
      </c>
      <c r="G172" s="1" t="s">
        <v>46</v>
      </c>
      <c r="H172" s="5">
        <v>2</v>
      </c>
      <c r="I172" s="5">
        <v>149.99</v>
      </c>
      <c r="J172" s="1" t="s">
        <v>20</v>
      </c>
      <c r="K172" s="1" t="s">
        <v>35</v>
      </c>
      <c r="L172" s="1" t="s">
        <v>22</v>
      </c>
      <c r="M172" s="4">
        <v>45239</v>
      </c>
      <c r="N172" s="5">
        <v>299.98</v>
      </c>
      <c r="O172" t="str">
        <f t="shared" si="4"/>
        <v>LAP</v>
      </c>
      <c r="P172" t="str">
        <f t="shared" si="5"/>
        <v>lap</v>
      </c>
    </row>
    <row r="173" spans="1:16" ht="29.4" thickBot="1">
      <c r="A173" s="1" t="s">
        <v>315</v>
      </c>
      <c r="B173" s="4">
        <v>45648</v>
      </c>
      <c r="C173" s="1" t="s">
        <v>112</v>
      </c>
      <c r="D173" s="1" t="s">
        <v>113</v>
      </c>
      <c r="E173" s="1" t="s">
        <v>52</v>
      </c>
      <c r="F173" s="1" t="s">
        <v>53</v>
      </c>
      <c r="G173" s="1" t="s">
        <v>19</v>
      </c>
      <c r="H173" s="5">
        <v>2</v>
      </c>
      <c r="I173" s="5">
        <v>149.99</v>
      </c>
      <c r="J173" s="1" t="s">
        <v>57</v>
      </c>
      <c r="K173" s="1" t="s">
        <v>50</v>
      </c>
      <c r="L173" s="1" t="s">
        <v>27</v>
      </c>
      <c r="M173" s="4">
        <v>45280</v>
      </c>
      <c r="N173" s="5">
        <v>299.98</v>
      </c>
      <c r="O173" t="str">
        <f t="shared" si="4"/>
        <v>BOO</v>
      </c>
      <c r="P173" t="str">
        <f t="shared" si="5"/>
        <v>boo</v>
      </c>
    </row>
    <row r="174" spans="1:16" ht="29.4" thickBot="1">
      <c r="A174" s="1" t="s">
        <v>316</v>
      </c>
      <c r="B174" s="4">
        <v>45648</v>
      </c>
      <c r="C174" s="1" t="s">
        <v>182</v>
      </c>
      <c r="D174" s="1" t="s">
        <v>183</v>
      </c>
      <c r="E174" s="1" t="s">
        <v>44</v>
      </c>
      <c r="F174" s="1" t="s">
        <v>45</v>
      </c>
      <c r="G174" s="1" t="s">
        <v>46</v>
      </c>
      <c r="H174" s="5">
        <v>3</v>
      </c>
      <c r="I174" s="5">
        <v>149.99</v>
      </c>
      <c r="J174" s="1" t="s">
        <v>57</v>
      </c>
      <c r="K174" s="1" t="s">
        <v>40</v>
      </c>
      <c r="L174" s="1" t="s">
        <v>36</v>
      </c>
      <c r="M174" s="4">
        <v>44522</v>
      </c>
      <c r="N174" s="5">
        <v>449.97</v>
      </c>
      <c r="O174" t="str">
        <f t="shared" si="4"/>
        <v>HEA</v>
      </c>
      <c r="P174" t="str">
        <f t="shared" si="5"/>
        <v>hea</v>
      </c>
    </row>
    <row r="175" spans="1:16" ht="29.4" thickBot="1">
      <c r="A175" s="1" t="s">
        <v>317</v>
      </c>
      <c r="B175" s="4">
        <v>45649</v>
      </c>
      <c r="C175" s="1" t="s">
        <v>29</v>
      </c>
      <c r="D175" s="1" t="s">
        <v>30</v>
      </c>
      <c r="E175" s="1" t="s">
        <v>105</v>
      </c>
      <c r="F175" s="1" t="s">
        <v>106</v>
      </c>
      <c r="G175" s="1" t="s">
        <v>46</v>
      </c>
      <c r="H175" s="5">
        <v>2</v>
      </c>
      <c r="I175" s="5">
        <v>299.99</v>
      </c>
      <c r="J175" s="1" t="s">
        <v>34</v>
      </c>
      <c r="K175" s="1" t="s">
        <v>35</v>
      </c>
      <c r="L175" s="1" t="s">
        <v>22</v>
      </c>
      <c r="M175" s="4">
        <v>44721</v>
      </c>
      <c r="N175" s="5">
        <v>599.98</v>
      </c>
      <c r="O175" t="str">
        <f t="shared" si="4"/>
        <v>BOO</v>
      </c>
      <c r="P175" t="str">
        <f t="shared" si="5"/>
        <v>boo</v>
      </c>
    </row>
    <row r="176" spans="1:16" ht="29.4" thickBot="1">
      <c r="A176" s="1" t="s">
        <v>318</v>
      </c>
      <c r="B176" s="4">
        <v>45654</v>
      </c>
      <c r="C176" s="1" t="s">
        <v>42</v>
      </c>
      <c r="D176" s="1" t="s">
        <v>43</v>
      </c>
      <c r="E176" s="1" t="s">
        <v>105</v>
      </c>
      <c r="F176" s="1" t="s">
        <v>106</v>
      </c>
      <c r="G176" s="1" t="s">
        <v>46</v>
      </c>
      <c r="H176" s="5">
        <v>2</v>
      </c>
      <c r="I176" s="5">
        <v>299.99</v>
      </c>
      <c r="J176" s="1" t="s">
        <v>20</v>
      </c>
      <c r="K176" s="1" t="s">
        <v>50</v>
      </c>
      <c r="L176" s="1" t="s">
        <v>22</v>
      </c>
      <c r="M176" s="4">
        <v>44771</v>
      </c>
      <c r="N176" s="5">
        <v>599.98</v>
      </c>
      <c r="O176" t="str">
        <f t="shared" si="4"/>
        <v>DES</v>
      </c>
      <c r="P176" t="str">
        <f t="shared" si="5"/>
        <v>des</v>
      </c>
    </row>
    <row r="177" spans="1:16" ht="29.4" thickBot="1">
      <c r="A177" s="1" t="s">
        <v>319</v>
      </c>
      <c r="B177" s="4">
        <v>45654</v>
      </c>
      <c r="C177" s="1" t="s">
        <v>120</v>
      </c>
      <c r="D177" s="1" t="s">
        <v>121</v>
      </c>
      <c r="E177" s="1" t="s">
        <v>126</v>
      </c>
      <c r="F177" s="1" t="s">
        <v>127</v>
      </c>
      <c r="G177" s="1" t="s">
        <v>46</v>
      </c>
      <c r="H177" s="5">
        <v>4</v>
      </c>
      <c r="I177" s="5">
        <v>199.99</v>
      </c>
      <c r="J177" s="1" t="s">
        <v>26</v>
      </c>
      <c r="K177" s="1" t="s">
        <v>21</v>
      </c>
      <c r="L177" s="1" t="s">
        <v>22</v>
      </c>
      <c r="M177" s="4">
        <v>44523</v>
      </c>
      <c r="N177" s="5">
        <v>799.96</v>
      </c>
      <c r="O177" t="str">
        <f t="shared" si="4"/>
        <v>DES</v>
      </c>
      <c r="P177" t="str">
        <f t="shared" si="5"/>
        <v>des</v>
      </c>
    </row>
    <row r="178" spans="1:16" ht="29.4" thickBot="1">
      <c r="A178" s="1" t="s">
        <v>320</v>
      </c>
      <c r="B178" s="4">
        <v>45655</v>
      </c>
      <c r="C178" s="1" t="s">
        <v>59</v>
      </c>
      <c r="D178" s="1" t="s">
        <v>60</v>
      </c>
      <c r="E178" s="1" t="s">
        <v>117</v>
      </c>
      <c r="F178" s="1" t="s">
        <v>118</v>
      </c>
      <c r="G178" s="1" t="s">
        <v>19</v>
      </c>
      <c r="H178" s="5">
        <v>1</v>
      </c>
      <c r="I178" s="5">
        <v>89.99</v>
      </c>
      <c r="J178" s="1" t="s">
        <v>26</v>
      </c>
      <c r="K178" s="1" t="s">
        <v>35</v>
      </c>
      <c r="L178" s="1" t="s">
        <v>27</v>
      </c>
      <c r="M178" s="4">
        <v>44591</v>
      </c>
      <c r="N178" s="5">
        <v>89.99</v>
      </c>
      <c r="O178" t="str">
        <f t="shared" si="4"/>
        <v>OFF</v>
      </c>
      <c r="P178" t="str">
        <f t="shared" si="5"/>
        <v>off</v>
      </c>
    </row>
    <row r="179" spans="1:16" ht="29.4" thickBot="1">
      <c r="A179" s="1" t="s">
        <v>321</v>
      </c>
      <c r="B179" s="4">
        <v>45655</v>
      </c>
      <c r="C179" s="1" t="s">
        <v>108</v>
      </c>
      <c r="D179" s="1" t="s">
        <v>109</v>
      </c>
      <c r="E179" s="1" t="s">
        <v>44</v>
      </c>
      <c r="F179" s="1" t="s">
        <v>45</v>
      </c>
      <c r="G179" s="1" t="s">
        <v>46</v>
      </c>
      <c r="H179" s="5">
        <v>5</v>
      </c>
      <c r="I179" s="5">
        <v>149.99</v>
      </c>
      <c r="J179" s="1" t="s">
        <v>20</v>
      </c>
      <c r="K179" s="1" t="s">
        <v>21</v>
      </c>
      <c r="L179" s="1" t="s">
        <v>27</v>
      </c>
      <c r="M179" s="4">
        <v>45347</v>
      </c>
      <c r="N179" s="5">
        <v>749.95</v>
      </c>
      <c r="O179" t="str">
        <f t="shared" si="4"/>
        <v>KEY</v>
      </c>
      <c r="P179" t="str">
        <f t="shared" si="5"/>
        <v>key</v>
      </c>
    </row>
    <row r="180" spans="1:16" ht="29.4" thickBot="1">
      <c r="A180" s="1" t="s">
        <v>322</v>
      </c>
      <c r="B180" s="4">
        <v>45657</v>
      </c>
      <c r="C180" s="1" t="s">
        <v>86</v>
      </c>
      <c r="D180" s="1" t="s">
        <v>87</v>
      </c>
      <c r="E180" s="1" t="s">
        <v>61</v>
      </c>
      <c r="F180" s="1" t="s">
        <v>62</v>
      </c>
      <c r="G180" s="1" t="s">
        <v>19</v>
      </c>
      <c r="H180" s="5">
        <v>1</v>
      </c>
      <c r="I180" s="5">
        <v>899.99</v>
      </c>
      <c r="J180" s="1" t="s">
        <v>34</v>
      </c>
      <c r="K180" s="1" t="s">
        <v>40</v>
      </c>
      <c r="L180" s="1" t="s">
        <v>27</v>
      </c>
      <c r="M180" s="4">
        <v>45050</v>
      </c>
      <c r="N180" s="5">
        <v>899.99</v>
      </c>
      <c r="O180" t="str">
        <f t="shared" si="4"/>
        <v>BOO</v>
      </c>
      <c r="P180" t="str">
        <f t="shared" si="5"/>
        <v>boo</v>
      </c>
    </row>
    <row r="181" spans="1:16" ht="29.4" thickBot="1">
      <c r="A181" s="1" t="s">
        <v>323</v>
      </c>
      <c r="B181" s="4">
        <v>45660</v>
      </c>
      <c r="C181" s="1" t="s">
        <v>147</v>
      </c>
      <c r="D181" s="1" t="s">
        <v>148</v>
      </c>
      <c r="E181" s="1" t="s">
        <v>117</v>
      </c>
      <c r="F181" s="1" t="s">
        <v>118</v>
      </c>
      <c r="G181" s="1" t="s">
        <v>19</v>
      </c>
      <c r="H181" s="5">
        <v>2</v>
      </c>
      <c r="I181" s="5">
        <v>89.99</v>
      </c>
      <c r="J181" s="1" t="s">
        <v>26</v>
      </c>
      <c r="K181" s="1" t="s">
        <v>35</v>
      </c>
      <c r="L181" s="1" t="s">
        <v>27</v>
      </c>
      <c r="M181" s="4">
        <v>44564</v>
      </c>
      <c r="N181" s="5">
        <v>179.98</v>
      </c>
      <c r="O181" t="str">
        <f t="shared" si="4"/>
        <v>LAP</v>
      </c>
      <c r="P181" t="str">
        <f t="shared" si="5"/>
        <v>lap</v>
      </c>
    </row>
    <row r="182" spans="1:16" ht="29.4" thickBot="1">
      <c r="A182" s="1" t="s">
        <v>324</v>
      </c>
      <c r="B182" s="4">
        <v>45661</v>
      </c>
      <c r="C182" s="1" t="s">
        <v>325</v>
      </c>
      <c r="D182" s="1" t="s">
        <v>326</v>
      </c>
      <c r="E182" s="1" t="s">
        <v>61</v>
      </c>
      <c r="F182" s="1" t="s">
        <v>62</v>
      </c>
      <c r="G182" s="1" t="s">
        <v>19</v>
      </c>
      <c r="H182" s="5">
        <v>1</v>
      </c>
      <c r="I182" s="5">
        <v>899.99</v>
      </c>
      <c r="J182" s="1" t="s">
        <v>34</v>
      </c>
      <c r="K182" s="1" t="s">
        <v>40</v>
      </c>
      <c r="L182" s="1" t="s">
        <v>36</v>
      </c>
      <c r="M182" s="4">
        <v>44752</v>
      </c>
      <c r="N182" s="5">
        <v>899.99</v>
      </c>
      <c r="O182" t="str">
        <f t="shared" si="4"/>
        <v>KEY</v>
      </c>
      <c r="P182" t="str">
        <f t="shared" si="5"/>
        <v>key</v>
      </c>
    </row>
    <row r="183" spans="1:16" ht="29.4" thickBot="1">
      <c r="A183" s="1" t="s">
        <v>327</v>
      </c>
      <c r="B183" s="4">
        <v>45663</v>
      </c>
      <c r="C183" s="1" t="s">
        <v>129</v>
      </c>
      <c r="D183" s="1" t="s">
        <v>130</v>
      </c>
      <c r="E183" s="1" t="s">
        <v>52</v>
      </c>
      <c r="F183" s="1" t="s">
        <v>53</v>
      </c>
      <c r="G183" s="1" t="s">
        <v>19</v>
      </c>
      <c r="H183" s="5">
        <v>5</v>
      </c>
      <c r="I183" s="5">
        <v>149.99</v>
      </c>
      <c r="J183" s="1" t="s">
        <v>34</v>
      </c>
      <c r="K183" s="1" t="s">
        <v>63</v>
      </c>
      <c r="L183" s="1" t="s">
        <v>27</v>
      </c>
      <c r="M183" s="4">
        <v>44824</v>
      </c>
      <c r="N183" s="5">
        <v>749.95</v>
      </c>
      <c r="O183" t="str">
        <f t="shared" si="4"/>
        <v>LAP</v>
      </c>
      <c r="P183" t="str">
        <f t="shared" si="5"/>
        <v>lap</v>
      </c>
    </row>
    <row r="184" spans="1:16" ht="29.4" thickBot="1">
      <c r="A184" s="1" t="s">
        <v>328</v>
      </c>
      <c r="B184" s="4">
        <v>45663</v>
      </c>
      <c r="C184" s="1" t="s">
        <v>42</v>
      </c>
      <c r="D184" s="1" t="s">
        <v>43</v>
      </c>
      <c r="E184" s="1" t="s">
        <v>105</v>
      </c>
      <c r="F184" s="1" t="s">
        <v>106</v>
      </c>
      <c r="G184" s="1" t="s">
        <v>46</v>
      </c>
      <c r="H184" s="5">
        <v>3</v>
      </c>
      <c r="I184" s="5">
        <v>299.99</v>
      </c>
      <c r="J184" s="1" t="s">
        <v>20</v>
      </c>
      <c r="K184" s="1" t="s">
        <v>35</v>
      </c>
      <c r="L184" s="1" t="s">
        <v>36</v>
      </c>
      <c r="M184" s="4">
        <v>44422</v>
      </c>
      <c r="N184" s="5">
        <v>899.97</v>
      </c>
      <c r="O184" t="str">
        <f t="shared" si="4"/>
        <v>HEA</v>
      </c>
      <c r="P184" t="str">
        <f t="shared" si="5"/>
        <v>hea</v>
      </c>
    </row>
    <row r="185" spans="1:16" ht="29.4" thickBot="1">
      <c r="A185" s="1" t="s">
        <v>329</v>
      </c>
      <c r="B185" s="4">
        <v>45666</v>
      </c>
      <c r="C185" s="1" t="s">
        <v>65</v>
      </c>
      <c r="D185" s="1" t="s">
        <v>66</v>
      </c>
      <c r="E185" s="1" t="s">
        <v>80</v>
      </c>
      <c r="F185" s="1" t="s">
        <v>81</v>
      </c>
      <c r="G185" s="1" t="s">
        <v>19</v>
      </c>
      <c r="H185" s="5">
        <v>3</v>
      </c>
      <c r="I185" s="5">
        <v>699.99</v>
      </c>
      <c r="J185" s="1" t="s">
        <v>26</v>
      </c>
      <c r="K185" s="1" t="s">
        <v>21</v>
      </c>
      <c r="L185" s="1" t="s">
        <v>27</v>
      </c>
      <c r="M185" s="4">
        <v>45105</v>
      </c>
      <c r="N185" s="5">
        <v>2099.9699999999998</v>
      </c>
      <c r="O185" t="str">
        <f t="shared" si="4"/>
        <v>DES</v>
      </c>
      <c r="P185" t="str">
        <f t="shared" si="5"/>
        <v>des</v>
      </c>
    </row>
    <row r="186" spans="1:16" ht="29.4" thickBot="1">
      <c r="A186" s="1" t="s">
        <v>330</v>
      </c>
      <c r="B186" s="4">
        <v>45667</v>
      </c>
      <c r="C186" s="1" t="s">
        <v>108</v>
      </c>
      <c r="D186" s="1" t="s">
        <v>109</v>
      </c>
      <c r="E186" s="1" t="s">
        <v>126</v>
      </c>
      <c r="F186" s="1" t="s">
        <v>127</v>
      </c>
      <c r="G186" s="1" t="s">
        <v>46</v>
      </c>
      <c r="H186" s="5">
        <v>5</v>
      </c>
      <c r="I186" s="5">
        <v>199.99</v>
      </c>
      <c r="J186" s="1" t="s">
        <v>34</v>
      </c>
      <c r="K186" s="1" t="s">
        <v>21</v>
      </c>
      <c r="L186" s="1" t="s">
        <v>36</v>
      </c>
      <c r="M186" s="4">
        <v>44633</v>
      </c>
      <c r="N186" s="5">
        <v>999.95</v>
      </c>
      <c r="O186" t="str">
        <f t="shared" si="4"/>
        <v>SMA</v>
      </c>
      <c r="P186" t="str">
        <f t="shared" si="5"/>
        <v>sma</v>
      </c>
    </row>
    <row r="187" spans="1:16" ht="29.4" thickBot="1">
      <c r="A187" s="1" t="s">
        <v>331</v>
      </c>
      <c r="B187" s="4">
        <v>45667</v>
      </c>
      <c r="C187" s="1" t="s">
        <v>93</v>
      </c>
      <c r="D187" s="1" t="s">
        <v>94</v>
      </c>
      <c r="E187" s="1" t="s">
        <v>17</v>
      </c>
      <c r="F187" s="1" t="s">
        <v>18</v>
      </c>
      <c r="G187" s="1" t="s">
        <v>19</v>
      </c>
      <c r="H187" s="5">
        <v>5</v>
      </c>
      <c r="I187" s="5">
        <v>249.99</v>
      </c>
      <c r="J187" s="1" t="s">
        <v>26</v>
      </c>
      <c r="K187" s="1" t="s">
        <v>35</v>
      </c>
      <c r="L187" s="1" t="s">
        <v>22</v>
      </c>
      <c r="M187" s="4">
        <v>45330</v>
      </c>
      <c r="N187" s="5">
        <v>1249.95</v>
      </c>
      <c r="O187" t="str">
        <f t="shared" si="4"/>
        <v>OFF</v>
      </c>
      <c r="P187" t="str">
        <f t="shared" si="5"/>
        <v>off</v>
      </c>
    </row>
    <row r="188" spans="1:16" ht="29.4" thickBot="1">
      <c r="A188" s="1" t="s">
        <v>332</v>
      </c>
      <c r="B188" s="4">
        <v>45668</v>
      </c>
      <c r="C188" s="1" t="s">
        <v>138</v>
      </c>
      <c r="D188" s="1" t="s">
        <v>139</v>
      </c>
      <c r="E188" s="1" t="s">
        <v>52</v>
      </c>
      <c r="F188" s="1" t="s">
        <v>53</v>
      </c>
      <c r="G188" s="1" t="s">
        <v>19</v>
      </c>
      <c r="H188" s="5">
        <v>4</v>
      </c>
      <c r="I188" s="5">
        <v>149.99</v>
      </c>
      <c r="J188" s="1" t="s">
        <v>57</v>
      </c>
      <c r="K188" s="1" t="s">
        <v>63</v>
      </c>
      <c r="L188" s="1" t="s">
        <v>36</v>
      </c>
      <c r="M188" s="4">
        <v>44536</v>
      </c>
      <c r="N188" s="5">
        <v>599.96</v>
      </c>
      <c r="O188" t="str">
        <f t="shared" si="4"/>
        <v>MON</v>
      </c>
      <c r="P188" t="str">
        <f t="shared" si="5"/>
        <v>mon</v>
      </c>
    </row>
    <row r="189" spans="1:16" ht="29.4" thickBot="1">
      <c r="A189" s="1" t="s">
        <v>333</v>
      </c>
      <c r="B189" s="4">
        <v>45668</v>
      </c>
      <c r="C189" s="1" t="s">
        <v>78</v>
      </c>
      <c r="D189" s="1" t="s">
        <v>79</v>
      </c>
      <c r="E189" s="1" t="s">
        <v>80</v>
      </c>
      <c r="F189" s="1" t="s">
        <v>81</v>
      </c>
      <c r="G189" s="1" t="s">
        <v>19</v>
      </c>
      <c r="H189" s="5">
        <v>3</v>
      </c>
      <c r="I189" s="5">
        <v>699.99</v>
      </c>
      <c r="J189" s="1" t="s">
        <v>20</v>
      </c>
      <c r="K189" s="1" t="s">
        <v>40</v>
      </c>
      <c r="L189" s="1" t="s">
        <v>27</v>
      </c>
      <c r="M189" s="4">
        <v>44602</v>
      </c>
      <c r="N189" s="5">
        <v>2099.9699999999998</v>
      </c>
      <c r="O189" t="str">
        <f t="shared" si="4"/>
        <v>HEA</v>
      </c>
      <c r="P189" t="str">
        <f t="shared" si="5"/>
        <v>hea</v>
      </c>
    </row>
    <row r="190" spans="1:16" ht="29.4" thickBot="1">
      <c r="A190" s="1" t="s">
        <v>334</v>
      </c>
      <c r="B190" s="4">
        <v>45670</v>
      </c>
      <c r="C190" s="1" t="s">
        <v>293</v>
      </c>
      <c r="D190" s="1" t="s">
        <v>294</v>
      </c>
      <c r="E190" s="1" t="s">
        <v>114</v>
      </c>
      <c r="F190" s="1" t="s">
        <v>115</v>
      </c>
      <c r="G190" s="1" t="s">
        <v>33</v>
      </c>
      <c r="H190" s="5">
        <v>1</v>
      </c>
      <c r="I190" s="5">
        <v>79.989999999999995</v>
      </c>
      <c r="J190" s="1" t="s">
        <v>26</v>
      </c>
      <c r="K190" s="1" t="s">
        <v>35</v>
      </c>
      <c r="L190" s="1" t="s">
        <v>22</v>
      </c>
      <c r="M190" s="4">
        <v>45322</v>
      </c>
      <c r="N190" s="5">
        <v>79.989999999999995</v>
      </c>
      <c r="O190" t="str">
        <f t="shared" si="4"/>
        <v>SMA</v>
      </c>
      <c r="P190" t="str">
        <f t="shared" si="5"/>
        <v>sma</v>
      </c>
    </row>
    <row r="191" spans="1:16" ht="29.4" thickBot="1">
      <c r="A191" s="1" t="s">
        <v>335</v>
      </c>
      <c r="B191" s="4">
        <v>45670</v>
      </c>
      <c r="C191" s="1" t="s">
        <v>86</v>
      </c>
      <c r="D191" s="1" t="s">
        <v>87</v>
      </c>
      <c r="E191" s="1" t="s">
        <v>105</v>
      </c>
      <c r="F191" s="1" t="s">
        <v>106</v>
      </c>
      <c r="G191" s="1" t="s">
        <v>46</v>
      </c>
      <c r="H191" s="5">
        <v>1</v>
      </c>
      <c r="I191" s="5">
        <v>299.99</v>
      </c>
      <c r="J191" s="1" t="s">
        <v>26</v>
      </c>
      <c r="K191" s="1" t="s">
        <v>40</v>
      </c>
      <c r="L191" s="1" t="s">
        <v>22</v>
      </c>
      <c r="M191" s="4">
        <v>44436</v>
      </c>
      <c r="N191" s="5">
        <v>299.99</v>
      </c>
      <c r="O191" t="str">
        <f t="shared" si="4"/>
        <v>COF</v>
      </c>
      <c r="P191" t="str">
        <f t="shared" si="5"/>
        <v>cof</v>
      </c>
    </row>
    <row r="192" spans="1:16" ht="29.4" thickBot="1">
      <c r="A192" s="1" t="s">
        <v>336</v>
      </c>
      <c r="B192" s="4">
        <v>45671</v>
      </c>
      <c r="C192" s="1" t="s">
        <v>158</v>
      </c>
      <c r="D192" s="1" t="s">
        <v>159</v>
      </c>
      <c r="E192" s="1" t="s">
        <v>17</v>
      </c>
      <c r="F192" s="1" t="s">
        <v>18</v>
      </c>
      <c r="G192" s="1" t="s">
        <v>19</v>
      </c>
      <c r="H192" s="5">
        <v>4</v>
      </c>
      <c r="I192" s="5">
        <v>249.99</v>
      </c>
      <c r="J192" s="1" t="s">
        <v>26</v>
      </c>
      <c r="K192" s="1" t="s">
        <v>40</v>
      </c>
      <c r="L192" s="1" t="s">
        <v>27</v>
      </c>
      <c r="M192" s="4">
        <v>44460</v>
      </c>
      <c r="N192" s="5">
        <v>999.96</v>
      </c>
      <c r="O192" t="str">
        <f t="shared" si="4"/>
        <v>DES</v>
      </c>
      <c r="P192" t="str">
        <f t="shared" si="5"/>
        <v>des</v>
      </c>
    </row>
    <row r="193" spans="1:16" ht="29.4" thickBot="1">
      <c r="A193" s="1" t="s">
        <v>337</v>
      </c>
      <c r="B193" s="4">
        <v>45671</v>
      </c>
      <c r="C193" s="1" t="s">
        <v>120</v>
      </c>
      <c r="D193" s="1" t="s">
        <v>121</v>
      </c>
      <c r="E193" s="1" t="s">
        <v>52</v>
      </c>
      <c r="F193" s="1" t="s">
        <v>53</v>
      </c>
      <c r="G193" s="1" t="s">
        <v>19</v>
      </c>
      <c r="H193" s="5">
        <v>2</v>
      </c>
      <c r="I193" s="5">
        <v>149.99</v>
      </c>
      <c r="J193" s="1" t="s">
        <v>20</v>
      </c>
      <c r="K193" s="1" t="s">
        <v>40</v>
      </c>
      <c r="L193" s="1" t="s">
        <v>36</v>
      </c>
      <c r="M193" s="4">
        <v>44913</v>
      </c>
      <c r="N193" s="5">
        <v>299.98</v>
      </c>
      <c r="O193" t="str">
        <f t="shared" si="4"/>
        <v>MON</v>
      </c>
      <c r="P193" t="str">
        <f t="shared" si="5"/>
        <v>mon</v>
      </c>
    </row>
    <row r="194" spans="1:16" ht="29.4" thickBot="1">
      <c r="A194" s="1" t="s">
        <v>338</v>
      </c>
      <c r="B194" s="4">
        <v>45671</v>
      </c>
      <c r="C194" s="1" t="s">
        <v>234</v>
      </c>
      <c r="D194" s="1" t="s">
        <v>235</v>
      </c>
      <c r="E194" s="1" t="s">
        <v>105</v>
      </c>
      <c r="F194" s="1" t="s">
        <v>106</v>
      </c>
      <c r="G194" s="1" t="s">
        <v>46</v>
      </c>
      <c r="H194" s="5">
        <v>3</v>
      </c>
      <c r="I194" s="5">
        <v>299.99</v>
      </c>
      <c r="J194" s="1" t="s">
        <v>26</v>
      </c>
      <c r="K194" s="1" t="s">
        <v>35</v>
      </c>
      <c r="L194" s="1" t="s">
        <v>22</v>
      </c>
      <c r="M194" s="4">
        <v>45204</v>
      </c>
      <c r="N194" s="5">
        <v>899.97</v>
      </c>
      <c r="O194" t="str">
        <f t="shared" si="4"/>
        <v>HEA</v>
      </c>
      <c r="P194" t="str">
        <f t="shared" si="5"/>
        <v>hea</v>
      </c>
    </row>
    <row r="195" spans="1:16" ht="29.4" thickBot="1">
      <c r="A195" s="1" t="s">
        <v>339</v>
      </c>
      <c r="B195" s="4">
        <v>45673</v>
      </c>
      <c r="C195" s="1" t="s">
        <v>226</v>
      </c>
      <c r="D195" s="1" t="s">
        <v>227</v>
      </c>
      <c r="E195" s="1" t="s">
        <v>126</v>
      </c>
      <c r="F195" s="1" t="s">
        <v>127</v>
      </c>
      <c r="G195" s="1" t="s">
        <v>46</v>
      </c>
      <c r="H195" s="5">
        <v>4</v>
      </c>
      <c r="I195" s="5">
        <v>199.99</v>
      </c>
      <c r="J195" s="1" t="s">
        <v>57</v>
      </c>
      <c r="K195" s="1" t="s">
        <v>35</v>
      </c>
      <c r="L195" s="1" t="s">
        <v>36</v>
      </c>
      <c r="M195" s="4">
        <v>44544</v>
      </c>
      <c r="N195" s="5">
        <v>799.96</v>
      </c>
      <c r="O195" t="str">
        <f t="shared" si="4"/>
        <v>DES</v>
      </c>
      <c r="P195" t="str">
        <f t="shared" si="5"/>
        <v>des</v>
      </c>
    </row>
    <row r="196" spans="1:16" ht="29.4" thickBot="1">
      <c r="A196" s="1" t="s">
        <v>340</v>
      </c>
      <c r="B196" s="4">
        <v>45673</v>
      </c>
      <c r="C196" s="1" t="s">
        <v>211</v>
      </c>
      <c r="D196" s="1" t="s">
        <v>212</v>
      </c>
      <c r="E196" s="1" t="s">
        <v>105</v>
      </c>
      <c r="F196" s="1" t="s">
        <v>106</v>
      </c>
      <c r="G196" s="1" t="s">
        <v>46</v>
      </c>
      <c r="H196" s="5">
        <v>5</v>
      </c>
      <c r="I196" s="5">
        <v>299.99</v>
      </c>
      <c r="J196" s="1" t="s">
        <v>57</v>
      </c>
      <c r="K196" s="1" t="s">
        <v>21</v>
      </c>
      <c r="L196" s="1" t="s">
        <v>22</v>
      </c>
      <c r="M196" s="4">
        <v>44431</v>
      </c>
      <c r="N196" s="5">
        <v>1499.95</v>
      </c>
      <c r="O196" t="str">
        <f t="shared" ref="O196:O252" si="6">UPPER(LEFT(F195,3))</f>
        <v>OFF</v>
      </c>
      <c r="P196" t="str">
        <f t="shared" ref="P196:P252" si="7">LOWER(LEFT(F195,3))</f>
        <v>off</v>
      </c>
    </row>
    <row r="197" spans="1:16" ht="29.4" thickBot="1">
      <c r="A197" s="1" t="s">
        <v>341</v>
      </c>
      <c r="B197" s="4">
        <v>45673</v>
      </c>
      <c r="C197" s="1" t="s">
        <v>59</v>
      </c>
      <c r="D197" s="1" t="s">
        <v>60</v>
      </c>
      <c r="E197" s="1" t="s">
        <v>44</v>
      </c>
      <c r="F197" s="1" t="s">
        <v>45</v>
      </c>
      <c r="G197" s="1" t="s">
        <v>46</v>
      </c>
      <c r="H197" s="5">
        <v>3</v>
      </c>
      <c r="I197" s="5">
        <v>149.99</v>
      </c>
      <c r="J197" s="1" t="s">
        <v>26</v>
      </c>
      <c r="K197" s="1" t="s">
        <v>63</v>
      </c>
      <c r="L197" s="1" t="s">
        <v>36</v>
      </c>
      <c r="M197" s="4">
        <v>44395</v>
      </c>
      <c r="N197" s="5">
        <v>449.97</v>
      </c>
      <c r="O197" t="str">
        <f t="shared" si="6"/>
        <v>DES</v>
      </c>
      <c r="P197" t="str">
        <f t="shared" si="7"/>
        <v>des</v>
      </c>
    </row>
    <row r="198" spans="1:16" ht="29.4" thickBot="1">
      <c r="A198" s="1" t="s">
        <v>342</v>
      </c>
      <c r="B198" s="4">
        <v>45676</v>
      </c>
      <c r="C198" s="1" t="s">
        <v>129</v>
      </c>
      <c r="D198" s="1" t="s">
        <v>130</v>
      </c>
      <c r="E198" s="1" t="s">
        <v>31</v>
      </c>
      <c r="F198" s="1" t="s">
        <v>32</v>
      </c>
      <c r="G198" s="1" t="s">
        <v>33</v>
      </c>
      <c r="H198" s="5">
        <v>5</v>
      </c>
      <c r="I198" s="5">
        <v>59.99</v>
      </c>
      <c r="J198" s="1" t="s">
        <v>57</v>
      </c>
      <c r="K198" s="1" t="s">
        <v>63</v>
      </c>
      <c r="L198" s="1" t="s">
        <v>22</v>
      </c>
      <c r="M198" s="4">
        <v>44642</v>
      </c>
      <c r="N198" s="5">
        <v>299.95</v>
      </c>
      <c r="O198" t="str">
        <f t="shared" si="6"/>
        <v>BOO</v>
      </c>
      <c r="P198" t="str">
        <f t="shared" si="7"/>
        <v>boo</v>
      </c>
    </row>
    <row r="199" spans="1:16" ht="29.4" thickBot="1">
      <c r="A199" s="1" t="s">
        <v>343</v>
      </c>
      <c r="B199" s="4">
        <v>45682</v>
      </c>
      <c r="C199" s="1" t="s">
        <v>68</v>
      </c>
      <c r="D199" s="1" t="s">
        <v>69</v>
      </c>
      <c r="E199" s="1" t="s">
        <v>31</v>
      </c>
      <c r="F199" s="1" t="s">
        <v>32</v>
      </c>
      <c r="G199" s="1" t="s">
        <v>33</v>
      </c>
      <c r="H199" s="5">
        <v>4</v>
      </c>
      <c r="I199" s="5">
        <v>59.99</v>
      </c>
      <c r="J199" s="1" t="s">
        <v>57</v>
      </c>
      <c r="K199" s="1" t="s">
        <v>63</v>
      </c>
      <c r="L199" s="1" t="s">
        <v>36</v>
      </c>
      <c r="M199" s="4">
        <v>44564</v>
      </c>
      <c r="N199" s="5">
        <v>239.96</v>
      </c>
      <c r="O199" t="str">
        <f t="shared" si="6"/>
        <v>BLE</v>
      </c>
      <c r="P199" t="str">
        <f t="shared" si="7"/>
        <v>ble</v>
      </c>
    </row>
    <row r="200" spans="1:16" ht="29.4" thickBot="1">
      <c r="A200" s="1" t="s">
        <v>344</v>
      </c>
      <c r="B200" s="4">
        <v>45683</v>
      </c>
      <c r="C200" s="1" t="s">
        <v>48</v>
      </c>
      <c r="D200" s="1" t="s">
        <v>49</v>
      </c>
      <c r="E200" s="1" t="s">
        <v>17</v>
      </c>
      <c r="F200" s="1" t="s">
        <v>18</v>
      </c>
      <c r="G200" s="1" t="s">
        <v>19</v>
      </c>
      <c r="H200" s="5">
        <v>4</v>
      </c>
      <c r="I200" s="5">
        <v>249.99</v>
      </c>
      <c r="J200" s="1" t="s">
        <v>57</v>
      </c>
      <c r="K200" s="1" t="s">
        <v>21</v>
      </c>
      <c r="L200" s="1" t="s">
        <v>27</v>
      </c>
      <c r="M200" s="4">
        <v>45217</v>
      </c>
      <c r="N200" s="5">
        <v>999.96</v>
      </c>
      <c r="O200" t="str">
        <f t="shared" si="6"/>
        <v>BLE</v>
      </c>
      <c r="P200" t="str">
        <f t="shared" si="7"/>
        <v>ble</v>
      </c>
    </row>
    <row r="201" spans="1:16" ht="29.4" thickBot="1">
      <c r="A201" s="1" t="s">
        <v>345</v>
      </c>
      <c r="B201" s="4">
        <v>45686</v>
      </c>
      <c r="C201" s="1" t="s">
        <v>252</v>
      </c>
      <c r="D201" s="1" t="s">
        <v>253</v>
      </c>
      <c r="E201" s="1" t="s">
        <v>61</v>
      </c>
      <c r="F201" s="1" t="s">
        <v>62</v>
      </c>
      <c r="G201" s="1" t="s">
        <v>19</v>
      </c>
      <c r="H201" s="5">
        <v>4</v>
      </c>
      <c r="I201" s="5">
        <v>899.99</v>
      </c>
      <c r="J201" s="1" t="s">
        <v>34</v>
      </c>
      <c r="K201" s="1" t="s">
        <v>21</v>
      </c>
      <c r="L201" s="1" t="s">
        <v>22</v>
      </c>
      <c r="M201" s="4">
        <v>44734</v>
      </c>
      <c r="N201" s="5">
        <v>3599.96</v>
      </c>
      <c r="O201" t="str">
        <f t="shared" si="6"/>
        <v>MON</v>
      </c>
      <c r="P201" t="str">
        <f t="shared" si="7"/>
        <v>mon</v>
      </c>
    </row>
    <row r="202" spans="1:16" ht="29.4" thickBot="1">
      <c r="A202" s="1" t="s">
        <v>346</v>
      </c>
      <c r="B202" s="4">
        <v>45686</v>
      </c>
      <c r="C202" s="1" t="s">
        <v>86</v>
      </c>
      <c r="D202" s="1" t="s">
        <v>87</v>
      </c>
      <c r="E202" s="1" t="s">
        <v>105</v>
      </c>
      <c r="F202" s="1" t="s">
        <v>106</v>
      </c>
      <c r="G202" s="1" t="s">
        <v>46</v>
      </c>
      <c r="H202" s="5">
        <v>3</v>
      </c>
      <c r="I202" s="5">
        <v>299.99</v>
      </c>
      <c r="J202" s="1" t="s">
        <v>57</v>
      </c>
      <c r="K202" s="1" t="s">
        <v>50</v>
      </c>
      <c r="L202" s="1" t="s">
        <v>36</v>
      </c>
      <c r="M202" s="4">
        <v>44952</v>
      </c>
      <c r="N202" s="5">
        <v>899.97</v>
      </c>
      <c r="O202" t="str">
        <f t="shared" si="6"/>
        <v>LAP</v>
      </c>
      <c r="P202" t="str">
        <f t="shared" si="7"/>
        <v>lap</v>
      </c>
    </row>
    <row r="203" spans="1:16" ht="29.4" thickBot="1">
      <c r="A203" s="1" t="s">
        <v>347</v>
      </c>
      <c r="B203" s="4">
        <v>45686</v>
      </c>
      <c r="C203" s="1" t="s">
        <v>293</v>
      </c>
      <c r="D203" s="1" t="s">
        <v>294</v>
      </c>
      <c r="E203" s="1" t="s">
        <v>80</v>
      </c>
      <c r="F203" s="1" t="s">
        <v>81</v>
      </c>
      <c r="G203" s="1" t="s">
        <v>19</v>
      </c>
      <c r="H203" s="5">
        <v>2</v>
      </c>
      <c r="I203" s="5">
        <v>699.99</v>
      </c>
      <c r="J203" s="1" t="s">
        <v>57</v>
      </c>
      <c r="K203" s="1" t="s">
        <v>21</v>
      </c>
      <c r="L203" s="1" t="s">
        <v>27</v>
      </c>
      <c r="M203" s="4">
        <v>44681</v>
      </c>
      <c r="N203" s="5">
        <v>1399.98</v>
      </c>
      <c r="O203" t="str">
        <f t="shared" si="6"/>
        <v>DES</v>
      </c>
      <c r="P203" t="str">
        <f t="shared" si="7"/>
        <v>des</v>
      </c>
    </row>
    <row r="204" spans="1:16" ht="29.4" thickBot="1">
      <c r="A204" s="1" t="s">
        <v>348</v>
      </c>
      <c r="B204" s="4">
        <v>45688</v>
      </c>
      <c r="C204" s="1" t="s">
        <v>65</v>
      </c>
      <c r="D204" s="1" t="s">
        <v>66</v>
      </c>
      <c r="E204" s="1" t="s">
        <v>80</v>
      </c>
      <c r="F204" s="1" t="s">
        <v>81</v>
      </c>
      <c r="G204" s="1" t="s">
        <v>19</v>
      </c>
      <c r="H204" s="5">
        <v>4</v>
      </c>
      <c r="I204" s="5">
        <v>699.99</v>
      </c>
      <c r="J204" s="1" t="s">
        <v>57</v>
      </c>
      <c r="K204" s="1" t="s">
        <v>50</v>
      </c>
      <c r="L204" s="1" t="s">
        <v>27</v>
      </c>
      <c r="M204" s="4">
        <v>44692</v>
      </c>
      <c r="N204" s="5">
        <v>2799.96</v>
      </c>
      <c r="O204" t="str">
        <f t="shared" si="6"/>
        <v>SMA</v>
      </c>
      <c r="P204" t="str">
        <f t="shared" si="7"/>
        <v>sma</v>
      </c>
    </row>
    <row r="205" spans="1:16" ht="29.4" thickBot="1">
      <c r="A205" s="1" t="s">
        <v>349</v>
      </c>
      <c r="B205" s="4">
        <v>45688</v>
      </c>
      <c r="C205" s="1" t="s">
        <v>123</v>
      </c>
      <c r="D205" s="1" t="s">
        <v>124</v>
      </c>
      <c r="E205" s="1" t="s">
        <v>117</v>
      </c>
      <c r="F205" s="1" t="s">
        <v>118</v>
      </c>
      <c r="G205" s="1" t="s">
        <v>19</v>
      </c>
      <c r="H205" s="5">
        <v>2</v>
      </c>
      <c r="I205" s="5">
        <v>89.99</v>
      </c>
      <c r="J205" s="1" t="s">
        <v>57</v>
      </c>
      <c r="K205" s="1" t="s">
        <v>35</v>
      </c>
      <c r="L205" s="1" t="s">
        <v>22</v>
      </c>
      <c r="M205" s="4">
        <v>44777</v>
      </c>
      <c r="N205" s="5">
        <v>179.98</v>
      </c>
      <c r="O205" t="str">
        <f t="shared" si="6"/>
        <v>SMA</v>
      </c>
      <c r="P205" t="str">
        <f t="shared" si="7"/>
        <v>sma</v>
      </c>
    </row>
    <row r="206" spans="1:16" ht="29.4" thickBot="1">
      <c r="A206" s="1" t="s">
        <v>350</v>
      </c>
      <c r="B206" s="4">
        <v>45688</v>
      </c>
      <c r="C206" s="1" t="s">
        <v>42</v>
      </c>
      <c r="D206" s="1" t="s">
        <v>43</v>
      </c>
      <c r="E206" s="1" t="s">
        <v>117</v>
      </c>
      <c r="F206" s="1" t="s">
        <v>118</v>
      </c>
      <c r="G206" s="1" t="s">
        <v>19</v>
      </c>
      <c r="H206" s="5">
        <v>3</v>
      </c>
      <c r="I206" s="5">
        <v>89.99</v>
      </c>
      <c r="J206" s="1" t="s">
        <v>57</v>
      </c>
      <c r="K206" s="1" t="s">
        <v>35</v>
      </c>
      <c r="L206" s="1" t="s">
        <v>27</v>
      </c>
      <c r="M206" s="4">
        <v>45307</v>
      </c>
      <c r="N206" s="5">
        <v>269.97000000000003</v>
      </c>
      <c r="O206" t="str">
        <f t="shared" si="6"/>
        <v>KEY</v>
      </c>
      <c r="P206" t="str">
        <f t="shared" si="7"/>
        <v>key</v>
      </c>
    </row>
    <row r="207" spans="1:16" ht="29.4" thickBot="1">
      <c r="A207" s="1" t="s">
        <v>351</v>
      </c>
      <c r="B207" s="4">
        <v>45692</v>
      </c>
      <c r="C207" s="1" t="s">
        <v>325</v>
      </c>
      <c r="D207" s="1" t="s">
        <v>326</v>
      </c>
      <c r="E207" s="1" t="s">
        <v>31</v>
      </c>
      <c r="F207" s="1" t="s">
        <v>32</v>
      </c>
      <c r="G207" s="1" t="s">
        <v>33</v>
      </c>
      <c r="H207" s="5">
        <v>1</v>
      </c>
      <c r="I207" s="5">
        <v>59.99</v>
      </c>
      <c r="J207" s="1" t="s">
        <v>57</v>
      </c>
      <c r="K207" s="1" t="s">
        <v>21</v>
      </c>
      <c r="L207" s="1" t="s">
        <v>36</v>
      </c>
      <c r="M207" s="4">
        <v>45045</v>
      </c>
      <c r="N207" s="5">
        <v>59.99</v>
      </c>
      <c r="O207" t="str">
        <f t="shared" si="6"/>
        <v>KEY</v>
      </c>
      <c r="P207" t="str">
        <f t="shared" si="7"/>
        <v>key</v>
      </c>
    </row>
    <row r="208" spans="1:16" ht="29.4" thickBot="1">
      <c r="A208" s="1" t="s">
        <v>352</v>
      </c>
      <c r="B208" s="4">
        <v>45695</v>
      </c>
      <c r="C208" s="1" t="s">
        <v>246</v>
      </c>
      <c r="D208" s="1" t="s">
        <v>247</v>
      </c>
      <c r="E208" s="1" t="s">
        <v>44</v>
      </c>
      <c r="F208" s="1" t="s">
        <v>45</v>
      </c>
      <c r="G208" s="1" t="s">
        <v>46</v>
      </c>
      <c r="H208" s="5">
        <v>3</v>
      </c>
      <c r="I208" s="5">
        <v>149.99</v>
      </c>
      <c r="J208" s="1" t="s">
        <v>57</v>
      </c>
      <c r="K208" s="1" t="s">
        <v>40</v>
      </c>
      <c r="L208" s="1" t="s">
        <v>27</v>
      </c>
      <c r="M208" s="4">
        <v>44564</v>
      </c>
      <c r="N208" s="5">
        <v>449.97</v>
      </c>
      <c r="O208" t="str">
        <f t="shared" si="6"/>
        <v>BLE</v>
      </c>
      <c r="P208" t="str">
        <f t="shared" si="7"/>
        <v>ble</v>
      </c>
    </row>
    <row r="209" spans="1:16" ht="29.4" thickBot="1">
      <c r="A209" s="1" t="s">
        <v>353</v>
      </c>
      <c r="B209" s="4">
        <v>45695</v>
      </c>
      <c r="C209" s="1" t="s">
        <v>93</v>
      </c>
      <c r="D209" s="1" t="s">
        <v>94</v>
      </c>
      <c r="E209" s="1" t="s">
        <v>105</v>
      </c>
      <c r="F209" s="1" t="s">
        <v>106</v>
      </c>
      <c r="G209" s="1" t="s">
        <v>46</v>
      </c>
      <c r="H209" s="5">
        <v>5</v>
      </c>
      <c r="I209" s="5">
        <v>299.99</v>
      </c>
      <c r="J209" s="1" t="s">
        <v>26</v>
      </c>
      <c r="K209" s="1" t="s">
        <v>35</v>
      </c>
      <c r="L209" s="1" t="s">
        <v>22</v>
      </c>
      <c r="M209" s="4">
        <v>44959</v>
      </c>
      <c r="N209" s="5">
        <v>1499.95</v>
      </c>
      <c r="O209" t="str">
        <f t="shared" si="6"/>
        <v>BOO</v>
      </c>
      <c r="P209" t="str">
        <f t="shared" si="7"/>
        <v>boo</v>
      </c>
    </row>
    <row r="210" spans="1:16" ht="29.4" thickBot="1">
      <c r="A210" s="1" t="s">
        <v>354</v>
      </c>
      <c r="B210" s="4">
        <v>45696</v>
      </c>
      <c r="C210" s="1" t="s">
        <v>150</v>
      </c>
      <c r="D210" s="1" t="s">
        <v>151</v>
      </c>
      <c r="E210" s="1" t="s">
        <v>31</v>
      </c>
      <c r="F210" s="1" t="s">
        <v>32</v>
      </c>
      <c r="G210" s="1" t="s">
        <v>33</v>
      </c>
      <c r="H210" s="5">
        <v>5</v>
      </c>
      <c r="I210" s="5">
        <v>59.99</v>
      </c>
      <c r="J210" s="1" t="s">
        <v>57</v>
      </c>
      <c r="K210" s="1" t="s">
        <v>21</v>
      </c>
      <c r="L210" s="1" t="s">
        <v>36</v>
      </c>
      <c r="M210" s="4">
        <v>45177</v>
      </c>
      <c r="N210" s="5">
        <v>299.95</v>
      </c>
      <c r="O210" t="str">
        <f t="shared" si="6"/>
        <v>DES</v>
      </c>
      <c r="P210" t="str">
        <f t="shared" si="7"/>
        <v>des</v>
      </c>
    </row>
    <row r="211" spans="1:16" ht="29.4" thickBot="1">
      <c r="A211" s="1" t="s">
        <v>355</v>
      </c>
      <c r="B211" s="4">
        <v>45701</v>
      </c>
      <c r="C211" s="1" t="s">
        <v>108</v>
      </c>
      <c r="D211" s="1" t="s">
        <v>109</v>
      </c>
      <c r="E211" s="1" t="s">
        <v>114</v>
      </c>
      <c r="F211" s="1" t="s">
        <v>115</v>
      </c>
      <c r="G211" s="1" t="s">
        <v>33</v>
      </c>
      <c r="H211" s="5">
        <v>3</v>
      </c>
      <c r="I211" s="5">
        <v>79.989999999999995</v>
      </c>
      <c r="J211" s="1" t="s">
        <v>20</v>
      </c>
      <c r="K211" s="1" t="s">
        <v>63</v>
      </c>
      <c r="L211" s="1" t="s">
        <v>27</v>
      </c>
      <c r="M211" s="4">
        <v>44436</v>
      </c>
      <c r="N211" s="5">
        <v>239.97</v>
      </c>
      <c r="O211" t="str">
        <f t="shared" si="6"/>
        <v>BLE</v>
      </c>
      <c r="P211" t="str">
        <f t="shared" si="7"/>
        <v>ble</v>
      </c>
    </row>
    <row r="212" spans="1:16" ht="29.4" thickBot="1">
      <c r="A212" s="1" t="s">
        <v>356</v>
      </c>
      <c r="B212" s="4">
        <v>45704</v>
      </c>
      <c r="C212" s="1" t="s">
        <v>29</v>
      </c>
      <c r="D212" s="1" t="s">
        <v>30</v>
      </c>
      <c r="E212" s="1" t="s">
        <v>126</v>
      </c>
      <c r="F212" s="1" t="s">
        <v>127</v>
      </c>
      <c r="G212" s="1" t="s">
        <v>46</v>
      </c>
      <c r="H212" s="5">
        <v>3</v>
      </c>
      <c r="I212" s="5">
        <v>199.99</v>
      </c>
      <c r="J212" s="1" t="s">
        <v>20</v>
      </c>
      <c r="K212" s="1" t="s">
        <v>21</v>
      </c>
      <c r="L212" s="1" t="s">
        <v>22</v>
      </c>
      <c r="M212" s="4">
        <v>44735</v>
      </c>
      <c r="N212" s="5">
        <v>599.97</v>
      </c>
      <c r="O212" t="str">
        <f t="shared" si="6"/>
        <v>COF</v>
      </c>
      <c r="P212" t="str">
        <f t="shared" si="7"/>
        <v>cof</v>
      </c>
    </row>
    <row r="213" spans="1:16" ht="29.4" thickBot="1">
      <c r="A213" s="1" t="s">
        <v>357</v>
      </c>
      <c r="B213" s="4">
        <v>45704</v>
      </c>
      <c r="C213" s="1" t="s">
        <v>15</v>
      </c>
      <c r="D213" s="1" t="s">
        <v>16</v>
      </c>
      <c r="E213" s="1" t="s">
        <v>117</v>
      </c>
      <c r="F213" s="1" t="s">
        <v>118</v>
      </c>
      <c r="G213" s="1" t="s">
        <v>19</v>
      </c>
      <c r="H213" s="5">
        <v>2</v>
      </c>
      <c r="I213" s="5">
        <v>89.99</v>
      </c>
      <c r="J213" s="1" t="s">
        <v>34</v>
      </c>
      <c r="K213" s="1" t="s">
        <v>21</v>
      </c>
      <c r="L213" s="1" t="s">
        <v>22</v>
      </c>
      <c r="M213" s="4">
        <v>45257</v>
      </c>
      <c r="N213" s="5">
        <v>179.98</v>
      </c>
      <c r="O213" t="str">
        <f t="shared" si="6"/>
        <v>OFF</v>
      </c>
      <c r="P213" t="str">
        <f t="shared" si="7"/>
        <v>off</v>
      </c>
    </row>
    <row r="214" spans="1:16" ht="29.4" thickBot="1">
      <c r="A214" s="1" t="s">
        <v>358</v>
      </c>
      <c r="B214" s="4">
        <v>45705</v>
      </c>
      <c r="C214" s="1" t="s">
        <v>259</v>
      </c>
      <c r="D214" s="1" t="s">
        <v>260</v>
      </c>
      <c r="E214" s="1" t="s">
        <v>44</v>
      </c>
      <c r="F214" s="1" t="s">
        <v>45</v>
      </c>
      <c r="G214" s="1" t="s">
        <v>46</v>
      </c>
      <c r="H214" s="5">
        <v>2</v>
      </c>
      <c r="I214" s="5">
        <v>149.99</v>
      </c>
      <c r="J214" s="1" t="s">
        <v>20</v>
      </c>
      <c r="K214" s="1" t="s">
        <v>35</v>
      </c>
      <c r="L214" s="1" t="s">
        <v>27</v>
      </c>
      <c r="M214" s="4">
        <v>44728</v>
      </c>
      <c r="N214" s="5">
        <v>299.98</v>
      </c>
      <c r="O214" t="str">
        <f t="shared" si="6"/>
        <v>KEY</v>
      </c>
      <c r="P214" t="str">
        <f t="shared" si="7"/>
        <v>key</v>
      </c>
    </row>
    <row r="215" spans="1:16" ht="29.4" thickBot="1">
      <c r="A215" s="1" t="s">
        <v>359</v>
      </c>
      <c r="B215" s="4">
        <v>45707</v>
      </c>
      <c r="C215" s="1" t="s">
        <v>123</v>
      </c>
      <c r="D215" s="1" t="s">
        <v>124</v>
      </c>
      <c r="E215" s="1" t="s">
        <v>80</v>
      </c>
      <c r="F215" s="1" t="s">
        <v>81</v>
      </c>
      <c r="G215" s="1" t="s">
        <v>19</v>
      </c>
      <c r="H215" s="5">
        <v>5</v>
      </c>
      <c r="I215" s="5">
        <v>699.99</v>
      </c>
      <c r="J215" s="1" t="s">
        <v>34</v>
      </c>
      <c r="K215" s="1" t="s">
        <v>35</v>
      </c>
      <c r="L215" s="1" t="s">
        <v>27</v>
      </c>
      <c r="M215" s="4">
        <v>45352</v>
      </c>
      <c r="N215" s="5">
        <v>3499.95</v>
      </c>
      <c r="O215" t="str">
        <f t="shared" si="6"/>
        <v>BOO</v>
      </c>
      <c r="P215" t="str">
        <f t="shared" si="7"/>
        <v>boo</v>
      </c>
    </row>
    <row r="216" spans="1:16" ht="29.4" thickBot="1">
      <c r="A216" s="1" t="s">
        <v>360</v>
      </c>
      <c r="B216" s="4">
        <v>45707</v>
      </c>
      <c r="C216" s="1" t="s">
        <v>42</v>
      </c>
      <c r="D216" s="1" t="s">
        <v>43</v>
      </c>
      <c r="E216" s="1" t="s">
        <v>44</v>
      </c>
      <c r="F216" s="1" t="s">
        <v>45</v>
      </c>
      <c r="G216" s="1" t="s">
        <v>46</v>
      </c>
      <c r="H216" s="5">
        <v>3</v>
      </c>
      <c r="I216" s="5">
        <v>149.99</v>
      </c>
      <c r="J216" s="1" t="s">
        <v>34</v>
      </c>
      <c r="K216" s="1" t="s">
        <v>21</v>
      </c>
      <c r="L216" s="1" t="s">
        <v>36</v>
      </c>
      <c r="M216" s="4">
        <v>44633</v>
      </c>
      <c r="N216" s="5">
        <v>449.97</v>
      </c>
      <c r="O216" t="str">
        <f t="shared" si="6"/>
        <v>SMA</v>
      </c>
      <c r="P216" t="str">
        <f t="shared" si="7"/>
        <v>sma</v>
      </c>
    </row>
    <row r="217" spans="1:16" ht="29.4" thickBot="1">
      <c r="A217" s="1" t="s">
        <v>361</v>
      </c>
      <c r="B217" s="4">
        <v>45708</v>
      </c>
      <c r="C217" s="1" t="s">
        <v>96</v>
      </c>
      <c r="D217" s="1" t="s">
        <v>97</v>
      </c>
      <c r="E217" s="1" t="s">
        <v>61</v>
      </c>
      <c r="F217" s="1" t="s">
        <v>62</v>
      </c>
      <c r="G217" s="1" t="s">
        <v>19</v>
      </c>
      <c r="H217" s="5">
        <v>3</v>
      </c>
      <c r="I217" s="5">
        <v>899.99</v>
      </c>
      <c r="J217" s="1" t="s">
        <v>20</v>
      </c>
      <c r="K217" s="1" t="s">
        <v>63</v>
      </c>
      <c r="L217" s="1" t="s">
        <v>36</v>
      </c>
      <c r="M217" s="4">
        <v>44613</v>
      </c>
      <c r="N217" s="5">
        <v>2699.97</v>
      </c>
      <c r="O217" t="str">
        <f t="shared" si="6"/>
        <v>BOO</v>
      </c>
      <c r="P217" t="str">
        <f t="shared" si="7"/>
        <v>boo</v>
      </c>
    </row>
    <row r="218" spans="1:16" ht="29.4" thickBot="1">
      <c r="A218" s="1" t="s">
        <v>362</v>
      </c>
      <c r="B218" s="4">
        <v>45708</v>
      </c>
      <c r="C218" s="1" t="s">
        <v>192</v>
      </c>
      <c r="D218" s="1" t="s">
        <v>193</v>
      </c>
      <c r="E218" s="1" t="s">
        <v>126</v>
      </c>
      <c r="F218" s="1" t="s">
        <v>127</v>
      </c>
      <c r="G218" s="1" t="s">
        <v>46</v>
      </c>
      <c r="H218" s="5">
        <v>3</v>
      </c>
      <c r="I218" s="5">
        <v>199.99</v>
      </c>
      <c r="J218" s="1" t="s">
        <v>20</v>
      </c>
      <c r="K218" s="1" t="s">
        <v>50</v>
      </c>
      <c r="L218" s="1" t="s">
        <v>27</v>
      </c>
      <c r="M218" s="4">
        <v>44823</v>
      </c>
      <c r="N218" s="5">
        <v>599.97</v>
      </c>
      <c r="O218" t="str">
        <f t="shared" si="6"/>
        <v>LAP</v>
      </c>
      <c r="P218" t="str">
        <f t="shared" si="7"/>
        <v>lap</v>
      </c>
    </row>
    <row r="219" spans="1:16" ht="29.4" thickBot="1">
      <c r="A219" s="1" t="s">
        <v>363</v>
      </c>
      <c r="B219" s="4">
        <v>45710</v>
      </c>
      <c r="C219" s="1" t="s">
        <v>55</v>
      </c>
      <c r="D219" s="1" t="s">
        <v>56</v>
      </c>
      <c r="E219" s="1" t="s">
        <v>105</v>
      </c>
      <c r="F219" s="1" t="s">
        <v>106</v>
      </c>
      <c r="G219" s="1" t="s">
        <v>46</v>
      </c>
      <c r="H219" s="5">
        <v>5</v>
      </c>
      <c r="I219" s="5">
        <v>299.99</v>
      </c>
      <c r="J219" s="1" t="s">
        <v>20</v>
      </c>
      <c r="K219" s="1" t="s">
        <v>50</v>
      </c>
      <c r="L219" s="1" t="s">
        <v>36</v>
      </c>
      <c r="M219" s="4">
        <v>45142</v>
      </c>
      <c r="N219" s="5">
        <v>1499.95</v>
      </c>
      <c r="O219" t="str">
        <f t="shared" si="6"/>
        <v>OFF</v>
      </c>
      <c r="P219" t="str">
        <f t="shared" si="7"/>
        <v>off</v>
      </c>
    </row>
    <row r="220" spans="1:16" ht="29.4" thickBot="1">
      <c r="A220" s="1" t="s">
        <v>364</v>
      </c>
      <c r="B220" s="4">
        <v>45710</v>
      </c>
      <c r="C220" s="1" t="s">
        <v>150</v>
      </c>
      <c r="D220" s="1" t="s">
        <v>151</v>
      </c>
      <c r="E220" s="1" t="s">
        <v>80</v>
      </c>
      <c r="F220" s="1" t="s">
        <v>81</v>
      </c>
      <c r="G220" s="1" t="s">
        <v>19</v>
      </c>
      <c r="H220" s="5">
        <v>1</v>
      </c>
      <c r="I220" s="5">
        <v>699.99</v>
      </c>
      <c r="J220" s="1" t="s">
        <v>34</v>
      </c>
      <c r="K220" s="1" t="s">
        <v>50</v>
      </c>
      <c r="L220" s="1" t="s">
        <v>22</v>
      </c>
      <c r="M220" s="4">
        <v>44934</v>
      </c>
      <c r="N220" s="5">
        <v>699.99</v>
      </c>
      <c r="O220" t="str">
        <f t="shared" si="6"/>
        <v>DES</v>
      </c>
      <c r="P220" t="str">
        <f t="shared" si="7"/>
        <v>des</v>
      </c>
    </row>
    <row r="221" spans="1:16" ht="29.4" thickBot="1">
      <c r="A221" s="1" t="s">
        <v>365</v>
      </c>
      <c r="B221" s="4">
        <v>45711</v>
      </c>
      <c r="C221" s="1" t="s">
        <v>246</v>
      </c>
      <c r="D221" s="1" t="s">
        <v>247</v>
      </c>
      <c r="E221" s="1" t="s">
        <v>80</v>
      </c>
      <c r="F221" s="1" t="s">
        <v>81</v>
      </c>
      <c r="G221" s="1" t="s">
        <v>19</v>
      </c>
      <c r="H221" s="5">
        <v>1</v>
      </c>
      <c r="I221" s="5">
        <v>699.99</v>
      </c>
      <c r="J221" s="1" t="s">
        <v>20</v>
      </c>
      <c r="K221" s="1" t="s">
        <v>40</v>
      </c>
      <c r="L221" s="1" t="s">
        <v>27</v>
      </c>
      <c r="M221" s="4">
        <v>44583</v>
      </c>
      <c r="N221" s="5">
        <v>699.99</v>
      </c>
      <c r="O221" t="str">
        <f t="shared" si="6"/>
        <v>SMA</v>
      </c>
      <c r="P221" t="str">
        <f t="shared" si="7"/>
        <v>sma</v>
      </c>
    </row>
    <row r="222" spans="1:16" ht="29.4" thickBot="1">
      <c r="A222" s="1" t="s">
        <v>366</v>
      </c>
      <c r="B222" s="4">
        <v>45711</v>
      </c>
      <c r="C222" s="1" t="s">
        <v>325</v>
      </c>
      <c r="D222" s="1" t="s">
        <v>326</v>
      </c>
      <c r="E222" s="1" t="s">
        <v>44</v>
      </c>
      <c r="F222" s="1" t="s">
        <v>45</v>
      </c>
      <c r="G222" s="1" t="s">
        <v>46</v>
      </c>
      <c r="H222" s="5">
        <v>4</v>
      </c>
      <c r="I222" s="5">
        <v>149.99</v>
      </c>
      <c r="J222" s="1" t="s">
        <v>34</v>
      </c>
      <c r="K222" s="1" t="s">
        <v>40</v>
      </c>
      <c r="L222" s="1" t="s">
        <v>27</v>
      </c>
      <c r="M222" s="4">
        <v>44412</v>
      </c>
      <c r="N222" s="5">
        <v>599.96</v>
      </c>
      <c r="O222" t="str">
        <f t="shared" si="6"/>
        <v>SMA</v>
      </c>
      <c r="P222" t="str">
        <f t="shared" si="7"/>
        <v>sma</v>
      </c>
    </row>
    <row r="223" spans="1:16" ht="29.4" thickBot="1">
      <c r="A223" s="1" t="s">
        <v>367</v>
      </c>
      <c r="B223" s="4">
        <v>45711</v>
      </c>
      <c r="C223" s="1" t="s">
        <v>211</v>
      </c>
      <c r="D223" s="1" t="s">
        <v>212</v>
      </c>
      <c r="E223" s="1" t="s">
        <v>117</v>
      </c>
      <c r="F223" s="1" t="s">
        <v>118</v>
      </c>
      <c r="G223" s="1" t="s">
        <v>19</v>
      </c>
      <c r="H223" s="5">
        <v>5</v>
      </c>
      <c r="I223" s="5">
        <v>89.99</v>
      </c>
      <c r="J223" s="1" t="s">
        <v>34</v>
      </c>
      <c r="K223" s="1" t="s">
        <v>50</v>
      </c>
      <c r="L223" s="1" t="s">
        <v>27</v>
      </c>
      <c r="M223" s="4">
        <v>45140</v>
      </c>
      <c r="N223" s="5">
        <v>449.95</v>
      </c>
      <c r="O223" t="str">
        <f t="shared" si="6"/>
        <v>BOO</v>
      </c>
      <c r="P223" t="str">
        <f t="shared" si="7"/>
        <v>boo</v>
      </c>
    </row>
    <row r="224" spans="1:16" ht="29.4" thickBot="1">
      <c r="A224" s="1" t="s">
        <v>368</v>
      </c>
      <c r="B224" s="4">
        <v>45712</v>
      </c>
      <c r="C224" s="1" t="s">
        <v>138</v>
      </c>
      <c r="D224" s="1" t="s">
        <v>139</v>
      </c>
      <c r="E224" s="1" t="s">
        <v>126</v>
      </c>
      <c r="F224" s="1" t="s">
        <v>127</v>
      </c>
      <c r="G224" s="1" t="s">
        <v>46</v>
      </c>
      <c r="H224" s="5">
        <v>2</v>
      </c>
      <c r="I224" s="5">
        <v>199.99</v>
      </c>
      <c r="J224" s="1" t="s">
        <v>20</v>
      </c>
      <c r="K224" s="1" t="s">
        <v>21</v>
      </c>
      <c r="L224" s="1" t="s">
        <v>27</v>
      </c>
      <c r="M224" s="4">
        <v>44573</v>
      </c>
      <c r="N224" s="5">
        <v>399.98</v>
      </c>
      <c r="O224" t="str">
        <f t="shared" si="6"/>
        <v>KEY</v>
      </c>
      <c r="P224" t="str">
        <f t="shared" si="7"/>
        <v>key</v>
      </c>
    </row>
    <row r="225" spans="1:16" ht="29.4" thickBot="1">
      <c r="A225" s="1" t="s">
        <v>369</v>
      </c>
      <c r="B225" s="4">
        <v>45715</v>
      </c>
      <c r="C225" s="1" t="s">
        <v>259</v>
      </c>
      <c r="D225" s="1" t="s">
        <v>260</v>
      </c>
      <c r="E225" s="1" t="s">
        <v>31</v>
      </c>
      <c r="F225" s="1" t="s">
        <v>32</v>
      </c>
      <c r="G225" s="1" t="s">
        <v>33</v>
      </c>
      <c r="H225" s="5">
        <v>4</v>
      </c>
      <c r="I225" s="5">
        <v>59.99</v>
      </c>
      <c r="J225" s="1" t="s">
        <v>20</v>
      </c>
      <c r="K225" s="1" t="s">
        <v>50</v>
      </c>
      <c r="L225" s="1" t="s">
        <v>36</v>
      </c>
      <c r="M225" s="4">
        <v>45070</v>
      </c>
      <c r="N225" s="5">
        <v>239.96</v>
      </c>
      <c r="O225" t="str">
        <f t="shared" si="6"/>
        <v>OFF</v>
      </c>
      <c r="P225" t="str">
        <f t="shared" si="7"/>
        <v>off</v>
      </c>
    </row>
    <row r="226" spans="1:16" ht="29.4" thickBot="1">
      <c r="A226" s="1" t="s">
        <v>370</v>
      </c>
      <c r="B226" s="4">
        <v>45715</v>
      </c>
      <c r="C226" s="1" t="s">
        <v>93</v>
      </c>
      <c r="D226" s="1" t="s">
        <v>94</v>
      </c>
      <c r="E226" s="1" t="s">
        <v>105</v>
      </c>
      <c r="F226" s="1" t="s">
        <v>106</v>
      </c>
      <c r="G226" s="1" t="s">
        <v>46</v>
      </c>
      <c r="H226" s="5">
        <v>2</v>
      </c>
      <c r="I226" s="5">
        <v>299.99</v>
      </c>
      <c r="J226" s="1" t="s">
        <v>34</v>
      </c>
      <c r="K226" s="1" t="s">
        <v>35</v>
      </c>
      <c r="L226" s="1" t="s">
        <v>22</v>
      </c>
      <c r="M226" s="4">
        <v>44576</v>
      </c>
      <c r="N226" s="5">
        <v>599.98</v>
      </c>
      <c r="O226" t="str">
        <f t="shared" si="6"/>
        <v>BLE</v>
      </c>
      <c r="P226" t="str">
        <f t="shared" si="7"/>
        <v>ble</v>
      </c>
    </row>
    <row r="227" spans="1:16" ht="29.4" thickBot="1">
      <c r="A227" s="1" t="s">
        <v>371</v>
      </c>
      <c r="B227" s="4">
        <v>45718</v>
      </c>
      <c r="C227" s="1" t="s">
        <v>55</v>
      </c>
      <c r="D227" s="1" t="s">
        <v>56</v>
      </c>
      <c r="E227" s="1" t="s">
        <v>44</v>
      </c>
      <c r="F227" s="1" t="s">
        <v>45</v>
      </c>
      <c r="G227" s="1" t="s">
        <v>46</v>
      </c>
      <c r="H227" s="5">
        <v>2</v>
      </c>
      <c r="I227" s="5">
        <v>149.99</v>
      </c>
      <c r="J227" s="1" t="s">
        <v>20</v>
      </c>
      <c r="K227" s="1" t="s">
        <v>21</v>
      </c>
      <c r="L227" s="1" t="s">
        <v>22</v>
      </c>
      <c r="M227" s="4">
        <v>45068</v>
      </c>
      <c r="N227" s="5">
        <v>299.98</v>
      </c>
      <c r="O227" t="str">
        <f t="shared" si="6"/>
        <v>DES</v>
      </c>
      <c r="P227" t="str">
        <f t="shared" si="7"/>
        <v>des</v>
      </c>
    </row>
    <row r="228" spans="1:16" ht="29.4" thickBot="1">
      <c r="A228" s="1" t="s">
        <v>372</v>
      </c>
      <c r="B228" s="4">
        <v>45720</v>
      </c>
      <c r="C228" s="1" t="s">
        <v>226</v>
      </c>
      <c r="D228" s="1" t="s">
        <v>227</v>
      </c>
      <c r="E228" s="1" t="s">
        <v>80</v>
      </c>
      <c r="F228" s="1" t="s">
        <v>81</v>
      </c>
      <c r="G228" s="1" t="s">
        <v>19</v>
      </c>
      <c r="H228" s="5">
        <v>5</v>
      </c>
      <c r="I228" s="5">
        <v>699.99</v>
      </c>
      <c r="J228" s="1" t="s">
        <v>57</v>
      </c>
      <c r="K228" s="1" t="s">
        <v>63</v>
      </c>
      <c r="L228" s="1" t="s">
        <v>27</v>
      </c>
      <c r="M228" s="4">
        <v>45161</v>
      </c>
      <c r="N228" s="5">
        <v>3499.95</v>
      </c>
      <c r="O228" t="str">
        <f t="shared" si="6"/>
        <v>BOO</v>
      </c>
      <c r="P228" t="str">
        <f t="shared" si="7"/>
        <v>boo</v>
      </c>
    </row>
    <row r="229" spans="1:16" ht="29.4" thickBot="1">
      <c r="A229" s="1" t="s">
        <v>373</v>
      </c>
      <c r="B229" s="4">
        <v>45721</v>
      </c>
      <c r="C229" s="1" t="s">
        <v>75</v>
      </c>
      <c r="D229" s="1" t="s">
        <v>76</v>
      </c>
      <c r="E229" s="1" t="s">
        <v>31</v>
      </c>
      <c r="F229" s="1" t="s">
        <v>32</v>
      </c>
      <c r="G229" s="1" t="s">
        <v>33</v>
      </c>
      <c r="H229" s="5">
        <v>5</v>
      </c>
      <c r="I229" s="5">
        <v>59.99</v>
      </c>
      <c r="J229" s="1" t="s">
        <v>20</v>
      </c>
      <c r="K229" s="1" t="s">
        <v>50</v>
      </c>
      <c r="L229" s="1" t="s">
        <v>27</v>
      </c>
      <c r="M229" s="4">
        <v>45291</v>
      </c>
      <c r="N229" s="5">
        <v>299.95</v>
      </c>
      <c r="O229" t="str">
        <f t="shared" si="6"/>
        <v>SMA</v>
      </c>
      <c r="P229" t="str">
        <f t="shared" si="7"/>
        <v>sma</v>
      </c>
    </row>
    <row r="230" spans="1:16" ht="29.4" thickBot="1">
      <c r="A230" s="1" t="s">
        <v>374</v>
      </c>
      <c r="B230" s="4">
        <v>45723</v>
      </c>
      <c r="C230" s="1" t="s">
        <v>15</v>
      </c>
      <c r="D230" s="1" t="s">
        <v>16</v>
      </c>
      <c r="E230" s="1" t="s">
        <v>117</v>
      </c>
      <c r="F230" s="1" t="s">
        <v>118</v>
      </c>
      <c r="G230" s="1" t="s">
        <v>19</v>
      </c>
      <c r="H230" s="5">
        <v>2</v>
      </c>
      <c r="I230" s="5">
        <v>89.99</v>
      </c>
      <c r="J230" s="1" t="s">
        <v>26</v>
      </c>
      <c r="K230" s="1" t="s">
        <v>50</v>
      </c>
      <c r="L230" s="1" t="s">
        <v>27</v>
      </c>
      <c r="M230" s="4">
        <v>45295</v>
      </c>
      <c r="N230" s="5">
        <v>179.98</v>
      </c>
      <c r="O230" t="str">
        <f t="shared" si="6"/>
        <v>BLE</v>
      </c>
      <c r="P230" t="str">
        <f t="shared" si="7"/>
        <v>ble</v>
      </c>
    </row>
    <row r="231" spans="1:16" ht="29.4" thickBot="1">
      <c r="A231" s="1" t="s">
        <v>375</v>
      </c>
      <c r="B231" s="4">
        <v>45723</v>
      </c>
      <c r="C231" s="1" t="s">
        <v>120</v>
      </c>
      <c r="D231" s="1" t="s">
        <v>121</v>
      </c>
      <c r="E231" s="1" t="s">
        <v>17</v>
      </c>
      <c r="F231" s="1" t="s">
        <v>18</v>
      </c>
      <c r="G231" s="1" t="s">
        <v>19</v>
      </c>
      <c r="H231" s="5">
        <v>5</v>
      </c>
      <c r="I231" s="5">
        <v>249.99</v>
      </c>
      <c r="J231" s="1" t="s">
        <v>20</v>
      </c>
      <c r="K231" s="1" t="s">
        <v>63</v>
      </c>
      <c r="L231" s="1" t="s">
        <v>36</v>
      </c>
      <c r="M231" s="4">
        <v>44540</v>
      </c>
      <c r="N231" s="5">
        <v>1249.95</v>
      </c>
      <c r="O231" t="str">
        <f t="shared" si="6"/>
        <v>KEY</v>
      </c>
      <c r="P231" t="str">
        <f t="shared" si="7"/>
        <v>key</v>
      </c>
    </row>
    <row r="232" spans="1:16" ht="29.4" thickBot="1">
      <c r="A232" s="1" t="s">
        <v>376</v>
      </c>
      <c r="B232" s="4">
        <v>45724</v>
      </c>
      <c r="C232" s="1" t="s">
        <v>226</v>
      </c>
      <c r="D232" s="1" t="s">
        <v>227</v>
      </c>
      <c r="E232" s="1" t="s">
        <v>44</v>
      </c>
      <c r="F232" s="1" t="s">
        <v>45</v>
      </c>
      <c r="G232" s="1" t="s">
        <v>46</v>
      </c>
      <c r="H232" s="5">
        <v>2</v>
      </c>
      <c r="I232" s="5">
        <v>149.99</v>
      </c>
      <c r="J232" s="1" t="s">
        <v>34</v>
      </c>
      <c r="K232" s="1" t="s">
        <v>21</v>
      </c>
      <c r="L232" s="1" t="s">
        <v>27</v>
      </c>
      <c r="M232" s="4">
        <v>44632</v>
      </c>
      <c r="N232" s="5">
        <v>299.98</v>
      </c>
      <c r="O232" t="str">
        <f t="shared" si="6"/>
        <v>MON</v>
      </c>
      <c r="P232" t="str">
        <f t="shared" si="7"/>
        <v>mon</v>
      </c>
    </row>
    <row r="233" spans="1:16" ht="29.4" thickBot="1">
      <c r="A233" s="1" t="s">
        <v>377</v>
      </c>
      <c r="B233" s="4">
        <v>45724</v>
      </c>
      <c r="C233" s="1" t="s">
        <v>144</v>
      </c>
      <c r="D233" s="1" t="s">
        <v>145</v>
      </c>
      <c r="E233" s="1" t="s">
        <v>61</v>
      </c>
      <c r="F233" s="1" t="s">
        <v>62</v>
      </c>
      <c r="G233" s="1" t="s">
        <v>19</v>
      </c>
      <c r="H233" s="5">
        <v>5</v>
      </c>
      <c r="I233" s="5">
        <v>899.99</v>
      </c>
      <c r="J233" s="1" t="s">
        <v>34</v>
      </c>
      <c r="K233" s="1" t="s">
        <v>63</v>
      </c>
      <c r="L233" s="1" t="s">
        <v>27</v>
      </c>
      <c r="M233" s="4">
        <v>45389</v>
      </c>
      <c r="N233" s="5">
        <v>4499.95</v>
      </c>
      <c r="O233" t="str">
        <f t="shared" si="6"/>
        <v>BOO</v>
      </c>
      <c r="P233" t="str">
        <f t="shared" si="7"/>
        <v>boo</v>
      </c>
    </row>
    <row r="234" spans="1:16" ht="29.4" thickBot="1">
      <c r="A234" s="1" t="s">
        <v>378</v>
      </c>
      <c r="B234" s="4">
        <v>45724</v>
      </c>
      <c r="C234" s="1" t="s">
        <v>55</v>
      </c>
      <c r="D234" s="1" t="s">
        <v>56</v>
      </c>
      <c r="E234" s="1" t="s">
        <v>44</v>
      </c>
      <c r="F234" s="1" t="s">
        <v>45</v>
      </c>
      <c r="G234" s="1" t="s">
        <v>46</v>
      </c>
      <c r="H234" s="5">
        <v>4</v>
      </c>
      <c r="I234" s="5">
        <v>149.99</v>
      </c>
      <c r="J234" s="1" t="s">
        <v>20</v>
      </c>
      <c r="K234" s="1" t="s">
        <v>21</v>
      </c>
      <c r="L234" s="1" t="s">
        <v>36</v>
      </c>
      <c r="M234" s="4">
        <v>45263</v>
      </c>
      <c r="N234" s="5">
        <v>599.96</v>
      </c>
      <c r="O234" t="str">
        <f t="shared" si="6"/>
        <v>LAP</v>
      </c>
      <c r="P234" t="str">
        <f t="shared" si="7"/>
        <v>lap</v>
      </c>
    </row>
    <row r="235" spans="1:16" ht="29.4" thickBot="1">
      <c r="A235" s="1" t="s">
        <v>379</v>
      </c>
      <c r="B235" s="4">
        <v>45726</v>
      </c>
      <c r="C235" s="1" t="s">
        <v>144</v>
      </c>
      <c r="D235" s="1" t="s">
        <v>145</v>
      </c>
      <c r="E235" s="1" t="s">
        <v>17</v>
      </c>
      <c r="F235" s="1" t="s">
        <v>18</v>
      </c>
      <c r="G235" s="1" t="s">
        <v>19</v>
      </c>
      <c r="H235" s="5">
        <v>1</v>
      </c>
      <c r="I235" s="5">
        <v>249.99</v>
      </c>
      <c r="J235" s="1" t="s">
        <v>20</v>
      </c>
      <c r="K235" s="1" t="s">
        <v>40</v>
      </c>
      <c r="L235" s="1" t="s">
        <v>36</v>
      </c>
      <c r="M235" s="4">
        <v>45117</v>
      </c>
      <c r="N235" s="5">
        <v>249.99</v>
      </c>
      <c r="O235" t="str">
        <f t="shared" si="6"/>
        <v>BOO</v>
      </c>
      <c r="P235" t="str">
        <f t="shared" si="7"/>
        <v>boo</v>
      </c>
    </row>
    <row r="236" spans="1:16" ht="29.4" thickBot="1">
      <c r="A236" s="1" t="s">
        <v>380</v>
      </c>
      <c r="B236" s="4">
        <v>45734</v>
      </c>
      <c r="C236" s="1" t="s">
        <v>192</v>
      </c>
      <c r="D236" s="1" t="s">
        <v>193</v>
      </c>
      <c r="E236" s="1" t="s">
        <v>31</v>
      </c>
      <c r="F236" s="1" t="s">
        <v>32</v>
      </c>
      <c r="G236" s="1" t="s">
        <v>33</v>
      </c>
      <c r="H236" s="5">
        <v>2</v>
      </c>
      <c r="I236" s="5">
        <v>59.99</v>
      </c>
      <c r="J236" s="1" t="s">
        <v>26</v>
      </c>
      <c r="K236" s="1" t="s">
        <v>50</v>
      </c>
      <c r="L236" s="1" t="s">
        <v>22</v>
      </c>
      <c r="M236" s="4">
        <v>45193</v>
      </c>
      <c r="N236" s="5">
        <v>119.98</v>
      </c>
      <c r="O236" t="str">
        <f t="shared" si="6"/>
        <v>MON</v>
      </c>
      <c r="P236" t="str">
        <f t="shared" si="7"/>
        <v>mon</v>
      </c>
    </row>
    <row r="237" spans="1:16" ht="29.4" thickBot="1">
      <c r="A237" s="1" t="s">
        <v>381</v>
      </c>
      <c r="B237" s="4">
        <v>45737</v>
      </c>
      <c r="C237" s="1" t="s">
        <v>132</v>
      </c>
      <c r="D237" s="1" t="s">
        <v>133</v>
      </c>
      <c r="E237" s="1" t="s">
        <v>44</v>
      </c>
      <c r="F237" s="1" t="s">
        <v>45</v>
      </c>
      <c r="G237" s="1" t="s">
        <v>46</v>
      </c>
      <c r="H237" s="5">
        <v>2</v>
      </c>
      <c r="I237" s="5">
        <v>149.99</v>
      </c>
      <c r="J237" s="1" t="s">
        <v>20</v>
      </c>
      <c r="K237" s="1" t="s">
        <v>50</v>
      </c>
      <c r="L237" s="1" t="s">
        <v>27</v>
      </c>
      <c r="M237" s="4">
        <v>45233</v>
      </c>
      <c r="N237" s="5">
        <v>299.98</v>
      </c>
      <c r="O237" t="str">
        <f t="shared" si="6"/>
        <v>BLE</v>
      </c>
      <c r="P237" t="str">
        <f t="shared" si="7"/>
        <v>ble</v>
      </c>
    </row>
    <row r="238" spans="1:16" ht="29.4" thickBot="1">
      <c r="A238" s="1" t="s">
        <v>382</v>
      </c>
      <c r="B238" s="4">
        <v>45737</v>
      </c>
      <c r="C238" s="1" t="s">
        <v>150</v>
      </c>
      <c r="D238" s="1" t="s">
        <v>151</v>
      </c>
      <c r="E238" s="1" t="s">
        <v>61</v>
      </c>
      <c r="F238" s="1" t="s">
        <v>62</v>
      </c>
      <c r="G238" s="1" t="s">
        <v>19</v>
      </c>
      <c r="H238" s="5">
        <v>3</v>
      </c>
      <c r="I238" s="5">
        <v>899.99</v>
      </c>
      <c r="J238" s="1" t="s">
        <v>57</v>
      </c>
      <c r="K238" s="1" t="s">
        <v>40</v>
      </c>
      <c r="L238" s="1" t="s">
        <v>27</v>
      </c>
      <c r="M238" s="4">
        <v>44876</v>
      </c>
      <c r="N238" s="5">
        <v>2699.97</v>
      </c>
      <c r="O238" t="str">
        <f t="shared" si="6"/>
        <v>BOO</v>
      </c>
      <c r="P238" t="str">
        <f t="shared" si="7"/>
        <v>boo</v>
      </c>
    </row>
    <row r="239" spans="1:16" ht="29.4" thickBot="1">
      <c r="A239" s="1" t="s">
        <v>383</v>
      </c>
      <c r="B239" s="4">
        <v>45737</v>
      </c>
      <c r="C239" s="1" t="s">
        <v>48</v>
      </c>
      <c r="D239" s="1" t="s">
        <v>49</v>
      </c>
      <c r="E239" s="1" t="s">
        <v>61</v>
      </c>
      <c r="F239" s="1" t="s">
        <v>62</v>
      </c>
      <c r="G239" s="1" t="s">
        <v>19</v>
      </c>
      <c r="H239" s="5">
        <v>3</v>
      </c>
      <c r="I239" s="5">
        <v>899.99</v>
      </c>
      <c r="J239" s="1" t="s">
        <v>34</v>
      </c>
      <c r="K239" s="1" t="s">
        <v>40</v>
      </c>
      <c r="L239" s="1" t="s">
        <v>22</v>
      </c>
      <c r="M239" s="4">
        <v>44975</v>
      </c>
      <c r="N239" s="5">
        <v>2699.97</v>
      </c>
      <c r="O239" t="str">
        <f t="shared" si="6"/>
        <v>LAP</v>
      </c>
      <c r="P239" t="str">
        <f t="shared" si="7"/>
        <v>lap</v>
      </c>
    </row>
    <row r="240" spans="1:16" ht="29.4" thickBot="1">
      <c r="A240" s="1" t="s">
        <v>384</v>
      </c>
      <c r="B240" s="4">
        <v>45739</v>
      </c>
      <c r="C240" s="1" t="s">
        <v>15</v>
      </c>
      <c r="D240" s="1" t="s">
        <v>16</v>
      </c>
      <c r="E240" s="1" t="s">
        <v>105</v>
      </c>
      <c r="F240" s="1" t="s">
        <v>106</v>
      </c>
      <c r="G240" s="1" t="s">
        <v>46</v>
      </c>
      <c r="H240" s="5">
        <v>3</v>
      </c>
      <c r="I240" s="5">
        <v>299.99</v>
      </c>
      <c r="J240" s="1" t="s">
        <v>26</v>
      </c>
      <c r="K240" s="1" t="s">
        <v>50</v>
      </c>
      <c r="L240" s="1" t="s">
        <v>27</v>
      </c>
      <c r="M240" s="4">
        <v>45234</v>
      </c>
      <c r="N240" s="5">
        <v>899.97</v>
      </c>
      <c r="O240" t="str">
        <f t="shared" si="6"/>
        <v>LAP</v>
      </c>
      <c r="P240" t="str">
        <f t="shared" si="7"/>
        <v>lap</v>
      </c>
    </row>
    <row r="241" spans="1:16" ht="29.4" thickBot="1">
      <c r="A241" s="1" t="s">
        <v>385</v>
      </c>
      <c r="B241" s="4">
        <v>45740</v>
      </c>
      <c r="C241" s="1" t="s">
        <v>386</v>
      </c>
      <c r="D241" s="1" t="s">
        <v>387</v>
      </c>
      <c r="E241" s="1" t="s">
        <v>44</v>
      </c>
      <c r="F241" s="1" t="s">
        <v>45</v>
      </c>
      <c r="G241" s="1" t="s">
        <v>46</v>
      </c>
      <c r="H241" s="5">
        <v>4</v>
      </c>
      <c r="I241" s="5">
        <v>149.99</v>
      </c>
      <c r="J241" s="1" t="s">
        <v>34</v>
      </c>
      <c r="K241" s="1" t="s">
        <v>50</v>
      </c>
      <c r="L241" s="1" t="s">
        <v>36</v>
      </c>
      <c r="M241" s="4">
        <v>44560</v>
      </c>
      <c r="N241" s="5">
        <v>599.96</v>
      </c>
      <c r="O241" t="str">
        <f t="shared" si="6"/>
        <v>DES</v>
      </c>
      <c r="P241" t="str">
        <f t="shared" si="7"/>
        <v>des</v>
      </c>
    </row>
    <row r="242" spans="1:16" ht="29.4" thickBot="1">
      <c r="A242" s="1" t="s">
        <v>388</v>
      </c>
      <c r="B242" s="4">
        <v>45743</v>
      </c>
      <c r="C242" s="1" t="s">
        <v>102</v>
      </c>
      <c r="D242" s="1" t="s">
        <v>103</v>
      </c>
      <c r="E242" s="1" t="s">
        <v>114</v>
      </c>
      <c r="F242" s="1" t="s">
        <v>115</v>
      </c>
      <c r="G242" s="1" t="s">
        <v>33</v>
      </c>
      <c r="H242" s="5">
        <v>4</v>
      </c>
      <c r="I242" s="5">
        <v>79.989999999999995</v>
      </c>
      <c r="J242" s="1" t="s">
        <v>26</v>
      </c>
      <c r="K242" s="1" t="s">
        <v>21</v>
      </c>
      <c r="L242" s="1" t="s">
        <v>22</v>
      </c>
      <c r="M242" s="4">
        <v>45288</v>
      </c>
      <c r="N242" s="5">
        <v>319.95999999999998</v>
      </c>
      <c r="O242" t="str">
        <f t="shared" si="6"/>
        <v>BOO</v>
      </c>
      <c r="P242" t="str">
        <f t="shared" si="7"/>
        <v>boo</v>
      </c>
    </row>
    <row r="243" spans="1:16" ht="29.4" thickBot="1">
      <c r="A243" s="1" t="s">
        <v>389</v>
      </c>
      <c r="B243" s="4">
        <v>45745</v>
      </c>
      <c r="C243" s="1" t="s">
        <v>185</v>
      </c>
      <c r="D243" s="1" t="s">
        <v>186</v>
      </c>
      <c r="E243" s="1" t="s">
        <v>117</v>
      </c>
      <c r="F243" s="1" t="s">
        <v>118</v>
      </c>
      <c r="G243" s="1" t="s">
        <v>19</v>
      </c>
      <c r="H243" s="5">
        <v>5</v>
      </c>
      <c r="I243" s="5">
        <v>89.99</v>
      </c>
      <c r="J243" s="1" t="s">
        <v>34</v>
      </c>
      <c r="K243" s="1" t="s">
        <v>35</v>
      </c>
      <c r="L243" s="1" t="s">
        <v>22</v>
      </c>
      <c r="M243" s="4">
        <v>44704</v>
      </c>
      <c r="N243" s="5">
        <v>449.95</v>
      </c>
      <c r="O243" t="str">
        <f t="shared" si="6"/>
        <v>COF</v>
      </c>
      <c r="P243" t="str">
        <f t="shared" si="7"/>
        <v>cof</v>
      </c>
    </row>
    <row r="244" spans="1:16" ht="29.4" thickBot="1">
      <c r="A244" s="1" t="s">
        <v>390</v>
      </c>
      <c r="B244" s="4">
        <v>45746</v>
      </c>
      <c r="C244" s="1" t="s">
        <v>93</v>
      </c>
      <c r="D244" s="1" t="s">
        <v>94</v>
      </c>
      <c r="E244" s="1" t="s">
        <v>44</v>
      </c>
      <c r="F244" s="1" t="s">
        <v>45</v>
      </c>
      <c r="G244" s="1" t="s">
        <v>46</v>
      </c>
      <c r="H244" s="5">
        <v>3</v>
      </c>
      <c r="I244" s="5">
        <v>149.99</v>
      </c>
      <c r="J244" s="1" t="s">
        <v>34</v>
      </c>
      <c r="K244" s="1" t="s">
        <v>21</v>
      </c>
      <c r="L244" s="1" t="s">
        <v>36</v>
      </c>
      <c r="M244" s="4">
        <v>45171</v>
      </c>
      <c r="N244" s="5">
        <v>449.97</v>
      </c>
      <c r="O244" t="str">
        <f t="shared" si="6"/>
        <v>KEY</v>
      </c>
      <c r="P244" t="str">
        <f t="shared" si="7"/>
        <v>key</v>
      </c>
    </row>
    <row r="245" spans="1:16" ht="29.4" thickBot="1">
      <c r="A245" s="1" t="s">
        <v>391</v>
      </c>
      <c r="B245" s="4">
        <v>45746</v>
      </c>
      <c r="C245" s="1" t="s">
        <v>65</v>
      </c>
      <c r="D245" s="1" t="s">
        <v>66</v>
      </c>
      <c r="E245" s="1" t="s">
        <v>117</v>
      </c>
      <c r="F245" s="1" t="s">
        <v>118</v>
      </c>
      <c r="G245" s="1" t="s">
        <v>19</v>
      </c>
      <c r="H245" s="5">
        <v>2</v>
      </c>
      <c r="I245" s="5">
        <v>89.99</v>
      </c>
      <c r="J245" s="1" t="s">
        <v>57</v>
      </c>
      <c r="K245" s="1" t="s">
        <v>50</v>
      </c>
      <c r="L245" s="1" t="s">
        <v>27</v>
      </c>
      <c r="M245" s="4">
        <v>44522</v>
      </c>
      <c r="N245" s="5">
        <v>179.98</v>
      </c>
      <c r="O245" t="str">
        <f t="shared" si="6"/>
        <v>BOO</v>
      </c>
      <c r="P245" t="str">
        <f t="shared" si="7"/>
        <v>boo</v>
      </c>
    </row>
    <row r="246" spans="1:16" ht="29.4" thickBot="1">
      <c r="A246" s="1" t="s">
        <v>392</v>
      </c>
      <c r="B246" s="4">
        <v>45748</v>
      </c>
      <c r="C246" s="1" t="s">
        <v>102</v>
      </c>
      <c r="D246" s="1" t="s">
        <v>103</v>
      </c>
      <c r="E246" s="1" t="s">
        <v>80</v>
      </c>
      <c r="F246" s="1" t="s">
        <v>81</v>
      </c>
      <c r="G246" s="1" t="s">
        <v>19</v>
      </c>
      <c r="H246" s="5">
        <v>2</v>
      </c>
      <c r="I246" s="5">
        <v>699.99</v>
      </c>
      <c r="J246" s="1" t="s">
        <v>34</v>
      </c>
      <c r="K246" s="1" t="s">
        <v>40</v>
      </c>
      <c r="L246" s="1" t="s">
        <v>36</v>
      </c>
      <c r="M246" s="4">
        <v>44618</v>
      </c>
      <c r="N246" s="5">
        <v>1399.98</v>
      </c>
      <c r="O246" t="str">
        <f t="shared" si="6"/>
        <v>KEY</v>
      </c>
      <c r="P246" t="str">
        <f t="shared" si="7"/>
        <v>key</v>
      </c>
    </row>
    <row r="247" spans="1:16" ht="29.4" thickBot="1">
      <c r="A247" s="1" t="s">
        <v>393</v>
      </c>
      <c r="B247" s="4">
        <v>45749</v>
      </c>
      <c r="C247" s="1" t="s">
        <v>123</v>
      </c>
      <c r="D247" s="1" t="s">
        <v>124</v>
      </c>
      <c r="E247" s="1" t="s">
        <v>61</v>
      </c>
      <c r="F247" s="1" t="s">
        <v>62</v>
      </c>
      <c r="G247" s="1" t="s">
        <v>19</v>
      </c>
      <c r="H247" s="5">
        <v>3</v>
      </c>
      <c r="I247" s="5">
        <v>899.99</v>
      </c>
      <c r="J247" s="1" t="s">
        <v>20</v>
      </c>
      <c r="K247" s="1" t="s">
        <v>21</v>
      </c>
      <c r="L247" s="1" t="s">
        <v>36</v>
      </c>
      <c r="M247" s="4">
        <v>44953</v>
      </c>
      <c r="N247" s="5">
        <v>2699.97</v>
      </c>
      <c r="O247" t="str">
        <f t="shared" si="6"/>
        <v>SMA</v>
      </c>
      <c r="P247" t="str">
        <f t="shared" si="7"/>
        <v>sma</v>
      </c>
    </row>
    <row r="248" spans="1:16" ht="29.4" thickBot="1">
      <c r="A248" s="1" t="s">
        <v>394</v>
      </c>
      <c r="B248" s="4">
        <v>45755</v>
      </c>
      <c r="C248" s="1" t="s">
        <v>93</v>
      </c>
      <c r="D248" s="1" t="s">
        <v>94</v>
      </c>
      <c r="E248" s="1" t="s">
        <v>114</v>
      </c>
      <c r="F248" s="1" t="s">
        <v>115</v>
      </c>
      <c r="G248" s="1" t="s">
        <v>33</v>
      </c>
      <c r="H248" s="5">
        <v>3</v>
      </c>
      <c r="I248" s="5">
        <v>79.989999999999995</v>
      </c>
      <c r="J248" s="1" t="s">
        <v>26</v>
      </c>
      <c r="K248" s="1" t="s">
        <v>40</v>
      </c>
      <c r="L248" s="1" t="s">
        <v>22</v>
      </c>
      <c r="M248" s="4">
        <v>44511</v>
      </c>
      <c r="N248" s="5">
        <v>239.97</v>
      </c>
      <c r="O248" t="str">
        <f t="shared" si="6"/>
        <v>LAP</v>
      </c>
      <c r="P248" t="str">
        <f t="shared" si="7"/>
        <v>lap</v>
      </c>
    </row>
    <row r="249" spans="1:16" ht="29.4" thickBot="1">
      <c r="A249" s="1" t="s">
        <v>395</v>
      </c>
      <c r="B249" s="4">
        <v>45756</v>
      </c>
      <c r="C249" s="1" t="s">
        <v>59</v>
      </c>
      <c r="D249" s="1" t="s">
        <v>60</v>
      </c>
      <c r="E249" s="1" t="s">
        <v>117</v>
      </c>
      <c r="F249" s="1" t="s">
        <v>118</v>
      </c>
      <c r="G249" s="1" t="s">
        <v>19</v>
      </c>
      <c r="H249" s="5">
        <v>1</v>
      </c>
      <c r="I249" s="5">
        <v>89.99</v>
      </c>
      <c r="J249" s="1" t="s">
        <v>57</v>
      </c>
      <c r="K249" s="1" t="s">
        <v>63</v>
      </c>
      <c r="L249" s="1" t="s">
        <v>22</v>
      </c>
      <c r="M249" s="4">
        <v>45346</v>
      </c>
      <c r="N249" s="5">
        <v>89.99</v>
      </c>
      <c r="O249" t="str">
        <f t="shared" si="6"/>
        <v>COF</v>
      </c>
      <c r="P249" t="str">
        <f t="shared" si="7"/>
        <v>cof</v>
      </c>
    </row>
    <row r="250" spans="1:16" ht="29.4" thickBot="1">
      <c r="A250" s="1" t="s">
        <v>396</v>
      </c>
      <c r="B250" s="4">
        <v>45758</v>
      </c>
      <c r="C250" s="1" t="s">
        <v>293</v>
      </c>
      <c r="D250" s="1" t="s">
        <v>294</v>
      </c>
      <c r="E250" s="1" t="s">
        <v>80</v>
      </c>
      <c r="F250" s="1" t="s">
        <v>81</v>
      </c>
      <c r="G250" s="1" t="s">
        <v>19</v>
      </c>
      <c r="H250" s="5">
        <v>3</v>
      </c>
      <c r="I250" s="5">
        <v>699.99</v>
      </c>
      <c r="J250" s="1" t="s">
        <v>34</v>
      </c>
      <c r="K250" s="1" t="s">
        <v>40</v>
      </c>
      <c r="L250" s="1" t="s">
        <v>22</v>
      </c>
      <c r="M250" s="4">
        <v>44909</v>
      </c>
      <c r="N250" s="5">
        <v>2099.9699999999998</v>
      </c>
      <c r="O250" t="str">
        <f t="shared" si="6"/>
        <v>KEY</v>
      </c>
      <c r="P250" t="str">
        <f t="shared" si="7"/>
        <v>key</v>
      </c>
    </row>
    <row r="251" spans="1:16" ht="29.4" thickBot="1">
      <c r="A251" s="1" t="s">
        <v>397</v>
      </c>
      <c r="B251" s="4">
        <v>45758</v>
      </c>
      <c r="C251" s="1" t="s">
        <v>226</v>
      </c>
      <c r="D251" s="1" t="s">
        <v>227</v>
      </c>
      <c r="E251" s="1" t="s">
        <v>117</v>
      </c>
      <c r="F251" s="1" t="s">
        <v>118</v>
      </c>
      <c r="G251" s="1" t="s">
        <v>19</v>
      </c>
      <c r="H251" s="5">
        <v>2</v>
      </c>
      <c r="I251" s="5">
        <v>89.99</v>
      </c>
      <c r="J251" s="1" t="s">
        <v>57</v>
      </c>
      <c r="K251" s="1" t="s">
        <v>63</v>
      </c>
      <c r="L251" s="1" t="s">
        <v>22</v>
      </c>
      <c r="M251" s="4">
        <v>45088</v>
      </c>
      <c r="N251" s="5">
        <v>179.98</v>
      </c>
      <c r="O251" t="str">
        <f t="shared" si="6"/>
        <v>SMA</v>
      </c>
      <c r="P251" t="str">
        <f t="shared" si="7"/>
        <v>sma</v>
      </c>
    </row>
    <row r="252" spans="1:16" ht="29.4" thickBot="1">
      <c r="A252" s="1" t="s">
        <v>398</v>
      </c>
      <c r="B252" s="4">
        <v>45758</v>
      </c>
      <c r="C252" s="1" t="s">
        <v>138</v>
      </c>
      <c r="D252" s="1" t="s">
        <v>139</v>
      </c>
      <c r="E252" s="1" t="s">
        <v>117</v>
      </c>
      <c r="F252" s="1" t="s">
        <v>118</v>
      </c>
      <c r="G252" s="1" t="s">
        <v>19</v>
      </c>
      <c r="H252" s="5">
        <v>3</v>
      </c>
      <c r="I252" s="5">
        <v>89.99</v>
      </c>
      <c r="J252" s="1" t="s">
        <v>57</v>
      </c>
      <c r="K252" s="1" t="s">
        <v>40</v>
      </c>
      <c r="L252" s="1" t="s">
        <v>27</v>
      </c>
      <c r="M252" s="4">
        <v>44878</v>
      </c>
      <c r="N252" s="5">
        <v>269.97000000000003</v>
      </c>
      <c r="O252" t="str">
        <f t="shared" si="6"/>
        <v>KEY</v>
      </c>
      <c r="P252" t="str">
        <f t="shared" si="7"/>
        <v>key</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CC28-B396-4E5C-AC0E-4C1B5FFCA055}">
  <dimension ref="A1:A100"/>
  <sheetViews>
    <sheetView tabSelected="1" topLeftCell="A85" workbookViewId="0">
      <selection activeCell="I105" sqref="I105"/>
    </sheetView>
  </sheetViews>
  <sheetFormatPr defaultRowHeight="14.4"/>
  <sheetData>
    <row r="1" spans="1:1" ht="23.4">
      <c r="A1" s="32" t="s">
        <v>462</v>
      </c>
    </row>
    <row r="2" spans="1:1">
      <c r="A2" s="47"/>
    </row>
    <row r="3" spans="1:1">
      <c r="A3" s="47" t="s">
        <v>463</v>
      </c>
    </row>
    <row r="4" spans="1:1">
      <c r="A4" s="47" t="s">
        <v>464</v>
      </c>
    </row>
    <row r="5" spans="1:1">
      <c r="A5" s="47" t="s">
        <v>465</v>
      </c>
    </row>
    <row r="6" spans="1:1">
      <c r="A6" s="47" t="s">
        <v>466</v>
      </c>
    </row>
    <row r="10" spans="1:1" ht="23.4">
      <c r="A10" s="32" t="s">
        <v>467</v>
      </c>
    </row>
    <row r="11" spans="1:1">
      <c r="A11" s="47"/>
    </row>
    <row r="12" spans="1:1">
      <c r="A12" s="47" t="s">
        <v>468</v>
      </c>
    </row>
    <row r="13" spans="1:1">
      <c r="A13" s="47" t="s">
        <v>469</v>
      </c>
    </row>
    <row r="14" spans="1:1">
      <c r="A14" s="47" t="s">
        <v>470</v>
      </c>
    </row>
    <row r="16" spans="1:1">
      <c r="A16" t="s">
        <v>471</v>
      </c>
    </row>
    <row r="17" spans="1:1">
      <c r="A17" t="s">
        <v>472</v>
      </c>
    </row>
    <row r="21" spans="1:1" ht="23.4">
      <c r="A21" s="32" t="s">
        <v>473</v>
      </c>
    </row>
    <row r="22" spans="1:1">
      <c r="A22" s="47"/>
    </row>
    <row r="23" spans="1:1">
      <c r="A23" s="47" t="s">
        <v>474</v>
      </c>
    </row>
    <row r="24" spans="1:1">
      <c r="A24" s="47" t="s">
        <v>475</v>
      </c>
    </row>
    <row r="25" spans="1:1">
      <c r="A25" s="47" t="s">
        <v>476</v>
      </c>
    </row>
    <row r="29" spans="1:1" ht="23.4">
      <c r="A29" s="32" t="s">
        <v>477</v>
      </c>
    </row>
    <row r="30" spans="1:1">
      <c r="A30" s="47"/>
    </row>
    <row r="31" spans="1:1">
      <c r="A31" s="47" t="s">
        <v>478</v>
      </c>
    </row>
    <row r="32" spans="1:1">
      <c r="A32" s="47" t="s">
        <v>479</v>
      </c>
    </row>
    <row r="33" spans="1:1">
      <c r="A33" s="47" t="s">
        <v>480</v>
      </c>
    </row>
    <row r="34" spans="1:1">
      <c r="A34" s="47" t="s">
        <v>481</v>
      </c>
    </row>
    <row r="38" spans="1:1" ht="23.4">
      <c r="A38" s="32" t="s">
        <v>482</v>
      </c>
    </row>
    <row r="39" spans="1:1">
      <c r="A39" s="47"/>
    </row>
    <row r="40" spans="1:1">
      <c r="A40" s="47" t="s">
        <v>483</v>
      </c>
    </row>
    <row r="41" spans="1:1">
      <c r="A41" s="47" t="s">
        <v>484</v>
      </c>
    </row>
    <row r="42" spans="1:1">
      <c r="A42" s="47" t="s">
        <v>485</v>
      </c>
    </row>
    <row r="44" spans="1:1">
      <c r="A44" t="s">
        <v>486</v>
      </c>
    </row>
    <row r="48" spans="1:1" ht="23.4">
      <c r="A48" s="32" t="s">
        <v>487</v>
      </c>
    </row>
    <row r="49" spans="1:1">
      <c r="A49" s="47"/>
    </row>
    <row r="50" spans="1:1">
      <c r="A50" s="47" t="s">
        <v>488</v>
      </c>
    </row>
    <row r="51" spans="1:1">
      <c r="A51" s="47" t="s">
        <v>489</v>
      </c>
    </row>
    <row r="52" spans="1:1">
      <c r="A52" s="47" t="s">
        <v>490</v>
      </c>
    </row>
    <row r="53" spans="1:1">
      <c r="A53" s="47" t="s">
        <v>491</v>
      </c>
    </row>
    <row r="57" spans="1:1" ht="23.4">
      <c r="A57" s="32" t="s">
        <v>492</v>
      </c>
    </row>
    <row r="58" spans="1:1">
      <c r="A58" s="47"/>
    </row>
    <row r="59" spans="1:1">
      <c r="A59" s="47" t="s">
        <v>493</v>
      </c>
    </row>
    <row r="60" spans="1:1">
      <c r="A60" s="47" t="s">
        <v>494</v>
      </c>
    </row>
    <row r="64" spans="1:1" ht="23.4">
      <c r="A64" s="32" t="s">
        <v>495</v>
      </c>
    </row>
    <row r="65" spans="1:1">
      <c r="A65" s="47"/>
    </row>
    <row r="66" spans="1:1">
      <c r="A66" s="47" t="s">
        <v>496</v>
      </c>
    </row>
    <row r="67" spans="1:1">
      <c r="A67" s="47" t="s">
        <v>497</v>
      </c>
    </row>
    <row r="71" spans="1:1" ht="23.4">
      <c r="A71" s="32" t="s">
        <v>498</v>
      </c>
    </row>
    <row r="72" spans="1:1">
      <c r="A72" s="47"/>
    </row>
    <row r="73" spans="1:1">
      <c r="A73" s="47" t="s">
        <v>499</v>
      </c>
    </row>
    <row r="74" spans="1:1">
      <c r="A74" s="47" t="s">
        <v>500</v>
      </c>
    </row>
    <row r="75" spans="1:1">
      <c r="A75" s="47" t="s">
        <v>501</v>
      </c>
    </row>
    <row r="76" spans="1:1">
      <c r="A76" s="47" t="s">
        <v>502</v>
      </c>
    </row>
    <row r="77" spans="1:1">
      <c r="A77" s="47" t="s">
        <v>503</v>
      </c>
    </row>
    <row r="81" spans="1:1" ht="23.4">
      <c r="A81" s="32" t="s">
        <v>504</v>
      </c>
    </row>
    <row r="82" spans="1:1">
      <c r="A82" s="47"/>
    </row>
    <row r="83" spans="1:1">
      <c r="A83" s="47" t="s">
        <v>505</v>
      </c>
    </row>
    <row r="84" spans="1:1">
      <c r="A84" s="47" t="s">
        <v>506</v>
      </c>
    </row>
    <row r="85" spans="1:1">
      <c r="A85" s="47" t="s">
        <v>507</v>
      </c>
    </row>
    <row r="86" spans="1:1">
      <c r="A86" s="47" t="s">
        <v>508</v>
      </c>
    </row>
    <row r="87" spans="1:1">
      <c r="A87" s="47" t="s">
        <v>509</v>
      </c>
    </row>
    <row r="88" spans="1:1">
      <c r="A88" s="47" t="s">
        <v>510</v>
      </c>
    </row>
    <row r="92" spans="1:1" ht="23.4">
      <c r="A92" s="32" t="s">
        <v>511</v>
      </c>
    </row>
    <row r="93" spans="1:1">
      <c r="A93" s="47"/>
    </row>
    <row r="94" spans="1:1">
      <c r="A94" s="47" t="s">
        <v>512</v>
      </c>
    </row>
    <row r="95" spans="1:1">
      <c r="A95" s="47" t="s">
        <v>513</v>
      </c>
    </row>
    <row r="96" spans="1:1">
      <c r="A96" s="47" t="s">
        <v>514</v>
      </c>
    </row>
    <row r="97" spans="1:1">
      <c r="A97" s="47" t="s">
        <v>515</v>
      </c>
    </row>
    <row r="98" spans="1:1">
      <c r="A98" s="47" t="s">
        <v>516</v>
      </c>
    </row>
    <row r="100" spans="1:1">
      <c r="A100"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 Set</vt:lpstr>
      <vt:lpstr>Question 1</vt:lpstr>
      <vt:lpstr>Question 2</vt:lpstr>
      <vt:lpstr>Question 3</vt:lpstr>
      <vt:lpstr>Question 4</vt:lpstr>
      <vt:lpstr>Scenario Summary</vt:lpstr>
      <vt:lpstr>Question 5</vt:lpstr>
      <vt:lpstr>Question 6</vt:lpstr>
      <vt:lpstr>Question 7</vt:lpstr>
      <vt:lpstr>Question 8</vt:lpstr>
      <vt:lpstr>Pivot Tables &amp; Charts &amp; Slicer</vt:lpstr>
      <vt:lpstr>Dashboard</vt:lpstr>
      <vt:lpstr>Kpi Indicatiors</vt:lpstr>
      <vt:lpstr>Question 10 </vt:lpstr>
      <vt:lpstr>Question 11</vt:lpstr>
      <vt:lpstr>Question 12</vt:lpstr>
      <vt:lpstr>Story Telling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jignesh p shah</dc:creator>
  <cp:lastModifiedBy>jignesh p shah</cp:lastModifiedBy>
  <dcterms:created xsi:type="dcterms:W3CDTF">2026-04-03T11:18:05Z</dcterms:created>
  <dcterms:modified xsi:type="dcterms:W3CDTF">2026-04-04T08:37:46Z</dcterms:modified>
</cp:coreProperties>
</file>